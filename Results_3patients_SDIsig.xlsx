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li\Documents\CHUV\TEST_RETEST_DSI_microstructure\connectome_epilepsy_clean\"/>
    </mc:Choice>
  </mc:AlternateContent>
  <xr:revisionPtr revIDLastSave="0" documentId="13_ncr:1_{41F13B48-235E-4218-99ED-6706B7022571}" xr6:coauthVersionLast="47" xr6:coauthVersionMax="47" xr10:uidLastSave="{00000000-0000-0000-0000-000000000000}"/>
  <bookViews>
    <workbookView xWindow="-98" yWindow="-98" windowWidth="24496" windowHeight="15675" activeTab="3" xr2:uid="{237F7BF7-7E92-461E-B29C-070EA1C588EC}"/>
  </bookViews>
  <sheets>
    <sheet name="LTLE_rois114" sheetId="1" r:id="rId1"/>
    <sheet name="RTLE_rois114" sheetId="2" r:id="rId2"/>
    <sheet name="summary_rois114" sheetId="3" r:id="rId3"/>
    <sheet name="LTLE_rois118" sheetId="4" r:id="rId4"/>
    <sheet name="RTLE_rois118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2" l="1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</calcChain>
</file>

<file path=xl/sharedStrings.xml><?xml version="1.0" encoding="utf-8"?>
<sst xmlns="http://schemas.openxmlformats.org/spreadsheetml/2006/main" count="277" uniqueCount="146">
  <si>
    <t xml:space="preserve"> superiorparietal_3</t>
  </si>
  <si>
    <t>ROI</t>
  </si>
  <si>
    <t>Label</t>
  </si>
  <si>
    <t>SDI</t>
  </si>
  <si>
    <t xml:space="preserve"> inferiortemporal_1  </t>
  </si>
  <si>
    <t xml:space="preserve">superiortemporal_2 </t>
  </si>
  <si>
    <t xml:space="preserve">transversetemporal_1  </t>
  </si>
  <si>
    <t xml:space="preserve">superiorfrontal_3 </t>
  </si>
  <si>
    <t xml:space="preserve"> superiorfrontal_4  </t>
  </si>
  <si>
    <t xml:space="preserve">precuneus_2 </t>
  </si>
  <si>
    <t xml:space="preserve">lingual_2 </t>
  </si>
  <si>
    <t>lingual_1</t>
  </si>
  <si>
    <t xml:space="preserve">cuneus_1  </t>
  </si>
  <si>
    <t xml:space="preserve">temporalpole_1  </t>
  </si>
  <si>
    <t>bankssts_1</t>
  </si>
  <si>
    <t>superiortemporal_2</t>
  </si>
  <si>
    <t>lateralorbitofrontal_2</t>
  </si>
  <si>
    <t>parsopercularis_1</t>
  </si>
  <si>
    <t>rostralmiddlefrontal_1</t>
  </si>
  <si>
    <t>rostralmiddlefrontal_2</t>
  </si>
  <si>
    <t>caudalmiddlefrontal_1</t>
  </si>
  <si>
    <t>entorhinal_1</t>
  </si>
  <si>
    <t>middletemporal_1</t>
  </si>
  <si>
    <t>middletemporal_2</t>
  </si>
  <si>
    <t xml:space="preserve">superiortemporal_1 </t>
  </si>
  <si>
    <t xml:space="preserve"> insula_1 </t>
  </si>
  <si>
    <t>medialorbitofrontal_2</t>
  </si>
  <si>
    <t>caudalanteriorcingulate_1</t>
  </si>
  <si>
    <t xml:space="preserve">supramarginal_2 </t>
  </si>
  <si>
    <t>superiorparietal_2</t>
  </si>
  <si>
    <t xml:space="preserve"> inferiorparietal_1</t>
  </si>
  <si>
    <t>parsorbitalis_1</t>
  </si>
  <si>
    <t>isthmuscingulate_1</t>
  </si>
  <si>
    <t xml:space="preserve"> postcentral_2</t>
  </si>
  <si>
    <t xml:space="preserve"> superiorfrontal_3</t>
  </si>
  <si>
    <t>inferiorparietal_2</t>
  </si>
  <si>
    <t>inferiorparietal_3</t>
  </si>
  <si>
    <t>entorhinal</t>
  </si>
  <si>
    <t xml:space="preserve"> inferiortemporal_2</t>
  </si>
  <si>
    <t>frontalpole_1</t>
  </si>
  <si>
    <t>parstriangularis_1</t>
  </si>
  <si>
    <t>precentral_1</t>
  </si>
  <si>
    <t>precentral_2</t>
  </si>
  <si>
    <t>precentral_4</t>
  </si>
  <si>
    <t>precuneus_1</t>
  </si>
  <si>
    <t xml:space="preserve"> posteriorcingulate_1</t>
  </si>
  <si>
    <t xml:space="preserve"> isthmuscingulate_1</t>
  </si>
  <si>
    <t>postcentral_1</t>
  </si>
  <si>
    <t>precuneus_2</t>
  </si>
  <si>
    <t>lateraloccipital_2</t>
  </si>
  <si>
    <t>lateraloccipital_3</t>
  </si>
  <si>
    <t>lingual_2</t>
  </si>
  <si>
    <t>temporalpole_1</t>
  </si>
  <si>
    <t>LT</t>
  </si>
  <si>
    <t>RT</t>
  </si>
  <si>
    <t>EP</t>
  </si>
  <si>
    <t>HC</t>
  </si>
  <si>
    <t>LT match</t>
  </si>
  <si>
    <t>RT match</t>
  </si>
  <si>
    <t>Coupling LT</t>
  </si>
  <si>
    <t>Coupling RT</t>
  </si>
  <si>
    <t>LTLE</t>
  </si>
  <si>
    <t>RTLE</t>
  </si>
  <si>
    <t>Common Coupled (neg)</t>
  </si>
  <si>
    <t>Parsopercularis (R)</t>
  </si>
  <si>
    <t>Rostralmiddlefrontal (R)</t>
  </si>
  <si>
    <t>Superiortemporal (R+L)</t>
  </si>
  <si>
    <t>Lingual L</t>
  </si>
  <si>
    <t>Common decoupled (pos)</t>
  </si>
  <si>
    <t>X</t>
  </si>
  <si>
    <t>Superior parietal R</t>
  </si>
  <si>
    <t>Inferiortemporal R</t>
  </si>
  <si>
    <t>EP Coupled (neg)</t>
  </si>
  <si>
    <t>Posteriorcingulate R</t>
  </si>
  <si>
    <t>Isthmuscingulate R</t>
  </si>
  <si>
    <t>Lingual R</t>
  </si>
  <si>
    <t>Temporal pole R</t>
  </si>
  <si>
    <t>Bankssts R</t>
  </si>
  <si>
    <t>Lateralorbitofrontal L</t>
  </si>
  <si>
    <t>Rostralmiddlefrontal L</t>
  </si>
  <si>
    <t>Caudalmiddlefrontal L</t>
  </si>
  <si>
    <t>Middletemporal L</t>
  </si>
  <si>
    <t>Superiortemporal L</t>
  </si>
  <si>
    <t>Entorhinal R</t>
  </si>
  <si>
    <t>lateralorbitofrontal L</t>
  </si>
  <si>
    <t>frontalpole L</t>
  </si>
  <si>
    <t>caudalmiddlefrontal L</t>
  </si>
  <si>
    <t>EP decoupled (pos)</t>
  </si>
  <si>
    <t>Postcentral R</t>
  </si>
  <si>
    <t>Precuneus R</t>
  </si>
  <si>
    <t>Lateraloccipital R</t>
  </si>
  <si>
    <t>Parsopercularis L</t>
  </si>
  <si>
    <t>Enthorinal L</t>
  </si>
  <si>
    <t>Inferiorparietal R</t>
  </si>
  <si>
    <t>parsorbitalis L</t>
  </si>
  <si>
    <t>partriangularis L</t>
  </si>
  <si>
    <t>Pardopercularis L</t>
  </si>
  <si>
    <t>Precentral L</t>
  </si>
  <si>
    <t>HC Coupled (neg)</t>
  </si>
  <si>
    <t>Medialorbitofrontal R</t>
  </si>
  <si>
    <t>Caudalanteriorcingulate R</t>
  </si>
  <si>
    <t>Isthmuscingulate L</t>
  </si>
  <si>
    <t>Insula L</t>
  </si>
  <si>
    <t>Superiortemporal R</t>
  </si>
  <si>
    <t>HC decoupled (pos)</t>
  </si>
  <si>
    <t>Supramarginal R</t>
  </si>
  <si>
    <t>Superiorparietal R</t>
  </si>
  <si>
    <t>Parsorbitalis L</t>
  </si>
  <si>
    <t>Superiorfrontal L</t>
  </si>
  <si>
    <t>Postcentral L</t>
  </si>
  <si>
    <t>Transversetemporal R</t>
  </si>
  <si>
    <t>Precuneus L</t>
  </si>
  <si>
    <t>Cuneus L</t>
  </si>
  <si>
    <t>Temporal pole L</t>
  </si>
  <si>
    <t>medialorbitofrontal</t>
  </si>
  <si>
    <t>superiorfrontal_1</t>
  </si>
  <si>
    <t>supramarginal_1</t>
  </si>
  <si>
    <t>cuneus_1</t>
  </si>
  <si>
    <t>inferiortemporal_1</t>
  </si>
  <si>
    <t>lateralorbitofrontal_1</t>
  </si>
  <si>
    <t>inferiorparietal_1</t>
  </si>
  <si>
    <t>paracentral_1</t>
  </si>
  <si>
    <t>superiorparietal_1</t>
  </si>
  <si>
    <t>superiorfrontal_3</t>
  </si>
  <si>
    <t>rostralanteriorcingulate_1</t>
  </si>
  <si>
    <t>fusiform_2</t>
  </si>
  <si>
    <t>transversetemporal_1</t>
  </si>
  <si>
    <t>insula_1</t>
  </si>
  <si>
    <t>superiorfrontal_2</t>
  </si>
  <si>
    <t>superiorfrontal_4</t>
  </si>
  <si>
    <t>pericalcarine_1</t>
  </si>
  <si>
    <t>fusiform_1</t>
  </si>
  <si>
    <t>superiortemporal_1</t>
  </si>
  <si>
    <t>left-amygdala</t>
  </si>
  <si>
    <t>left-hippocampus</t>
  </si>
  <si>
    <t>lateraloccipital_1</t>
  </si>
  <si>
    <t>inferiortemporal_2</t>
  </si>
  <si>
    <t>right amygdala</t>
  </si>
  <si>
    <t>precentral_3</t>
  </si>
  <si>
    <t>supramarginal_2</t>
  </si>
  <si>
    <t>superiorparietal_3</t>
  </si>
  <si>
    <t>parahippocampal_1</t>
  </si>
  <si>
    <t>posteriorcingulate_1</t>
  </si>
  <si>
    <t>rostralmiddlefrontal_3</t>
  </si>
  <si>
    <t>postcentral_2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</si>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</sst>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2" fontId="0" fillId="0" borderId="1" xfId="0" applyNumberFormat="1" applyBorder="1"/>
    <xf numFmtId="0" fontId="0" fillId="2" borderId="1" xfId="0" applyFill="1" applyBorder="1"/>
    <xf numFmtId="2" fontId="0" fillId="2" borderId="1" xfId="0" applyNumberFormat="1" applyFill="1" applyBorder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1" xfId="0" applyFill="1" applyBorder="1"/>
    <xf numFmtId="2" fontId="0" fillId="0" borderId="1" xfId="0" applyNumberFormat="1" applyFill="1" applyBorder="1"/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0" fillId="0" borderId="10" xfId="0" applyFill="1" applyBorder="1"/>
    <xf numFmtId="0" fontId="0" fillId="3" borderId="1" xfId="0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3" borderId="1" xfId="0" applyNumberFormat="1" applyFill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35EA-B930-4950-9F7C-E44CEA712438}">
  <dimension ref="A1:F48"/>
  <sheetViews>
    <sheetView topLeftCell="A4" workbookViewId="0">
      <selection sqref="A1:D3"/>
    </sheetView>
  </sheetViews>
  <sheetFormatPr defaultRowHeight="14.25" x14ac:dyDescent="0.45"/>
  <cols>
    <col min="1" max="1" width="3.796875" bestFit="1" customWidth="1"/>
    <col min="2" max="2" width="21.6640625" customWidth="1"/>
    <col min="3" max="4" width="9.33203125" bestFit="1" customWidth="1"/>
    <col min="5" max="6" width="11.06640625" style="1" customWidth="1"/>
  </cols>
  <sheetData>
    <row r="1" spans="1:6" x14ac:dyDescent="0.45">
      <c r="A1" s="19"/>
      <c r="B1" s="19"/>
      <c r="C1" s="19" t="s">
        <v>53</v>
      </c>
      <c r="D1" s="19"/>
      <c r="E1" s="17" t="s">
        <v>57</v>
      </c>
      <c r="F1" s="18" t="s">
        <v>59</v>
      </c>
    </row>
    <row r="2" spans="1:6" x14ac:dyDescent="0.45">
      <c r="A2" s="19"/>
      <c r="B2" s="19"/>
      <c r="C2" s="2" t="s">
        <v>56</v>
      </c>
      <c r="D2" s="2" t="s">
        <v>55</v>
      </c>
      <c r="E2" s="17"/>
      <c r="F2" s="18"/>
    </row>
    <row r="3" spans="1:6" x14ac:dyDescent="0.45">
      <c r="A3" s="2" t="s">
        <v>1</v>
      </c>
      <c r="B3" s="2" t="s">
        <v>2</v>
      </c>
      <c r="C3" s="2" t="s">
        <v>3</v>
      </c>
      <c r="D3" s="2" t="s">
        <v>3</v>
      </c>
      <c r="E3" s="17"/>
      <c r="F3" s="18"/>
    </row>
    <row r="4" spans="1:6" x14ac:dyDescent="0.45">
      <c r="A4" s="4">
        <v>5</v>
      </c>
      <c r="B4" s="4" t="s">
        <v>26</v>
      </c>
      <c r="C4" s="4">
        <v>-0.40004899999999999</v>
      </c>
      <c r="D4" s="4"/>
      <c r="E4" s="6">
        <f t="shared" ref="E4:E37" si="0">IF(C4*D4&gt;0,1,0)</f>
        <v>0</v>
      </c>
      <c r="F4" s="4">
        <f t="shared" ref="F4:F37" si="1">IF(C4+D4&gt;0,1,-1)</f>
        <v>-1</v>
      </c>
    </row>
    <row r="5" spans="1:6" x14ac:dyDescent="0.45">
      <c r="A5" s="4">
        <v>7</v>
      </c>
      <c r="B5" s="4" t="s">
        <v>17</v>
      </c>
      <c r="C5" s="4">
        <v>-0.13578799999999999</v>
      </c>
      <c r="D5" s="4">
        <v>-0.13578799999999999</v>
      </c>
      <c r="E5" s="6">
        <f t="shared" si="0"/>
        <v>1</v>
      </c>
      <c r="F5" s="4">
        <f t="shared" si="1"/>
        <v>-1</v>
      </c>
    </row>
    <row r="6" spans="1:6" x14ac:dyDescent="0.45">
      <c r="A6" s="4">
        <v>8</v>
      </c>
      <c r="B6" s="4" t="s">
        <v>18</v>
      </c>
      <c r="C6" s="4">
        <v>-0.124941</v>
      </c>
      <c r="D6" s="4">
        <v>-0.124941</v>
      </c>
      <c r="E6" s="6">
        <f t="shared" si="0"/>
        <v>1</v>
      </c>
      <c r="F6" s="4">
        <f t="shared" si="1"/>
        <v>-1</v>
      </c>
    </row>
    <row r="7" spans="1:6" ht="28.5" customHeight="1" x14ac:dyDescent="0.45">
      <c r="A7" s="4">
        <v>9</v>
      </c>
      <c r="B7" s="4" t="s">
        <v>19</v>
      </c>
      <c r="C7" s="4"/>
      <c r="D7" s="4">
        <v>-0.16958400000000001</v>
      </c>
      <c r="E7" s="6">
        <f t="shared" si="0"/>
        <v>0</v>
      </c>
      <c r="F7" s="4">
        <f t="shared" si="1"/>
        <v>-1</v>
      </c>
    </row>
    <row r="8" spans="1:6" x14ac:dyDescent="0.45">
      <c r="A8" s="4">
        <v>20</v>
      </c>
      <c r="B8" s="4" t="s">
        <v>27</v>
      </c>
      <c r="C8" s="4">
        <v>-0.31882700000000003</v>
      </c>
      <c r="D8" s="4"/>
      <c r="E8" s="6">
        <f t="shared" si="0"/>
        <v>0</v>
      </c>
      <c r="F8" s="4">
        <f t="shared" si="1"/>
        <v>-1</v>
      </c>
    </row>
    <row r="9" spans="1:6" x14ac:dyDescent="0.45">
      <c r="A9" s="4">
        <v>21</v>
      </c>
      <c r="B9" s="4" t="s">
        <v>45</v>
      </c>
      <c r="C9" s="4"/>
      <c r="D9" s="4">
        <v>-7.3639999999999997E-2</v>
      </c>
      <c r="E9" s="6">
        <f t="shared" si="0"/>
        <v>0</v>
      </c>
      <c r="F9" s="4">
        <f t="shared" si="1"/>
        <v>-1</v>
      </c>
    </row>
    <row r="10" spans="1:6" ht="28.5" customHeight="1" x14ac:dyDescent="0.45">
      <c r="A10" s="4">
        <v>22</v>
      </c>
      <c r="B10" s="4" t="s">
        <v>46</v>
      </c>
      <c r="C10" s="4"/>
      <c r="D10" s="4">
        <v>-0.337588</v>
      </c>
      <c r="E10" s="6">
        <f t="shared" si="0"/>
        <v>0</v>
      </c>
      <c r="F10" s="4">
        <f t="shared" si="1"/>
        <v>-1</v>
      </c>
    </row>
    <row r="11" spans="1:6" x14ac:dyDescent="0.45">
      <c r="A11" s="4">
        <v>23</v>
      </c>
      <c r="B11" s="4" t="s">
        <v>47</v>
      </c>
      <c r="C11" s="4"/>
      <c r="D11" s="4">
        <v>6.4029000000000003E-2</v>
      </c>
      <c r="E11" s="6">
        <f t="shared" si="0"/>
        <v>0</v>
      </c>
      <c r="F11" s="4">
        <f t="shared" si="1"/>
        <v>1</v>
      </c>
    </row>
    <row r="12" spans="1:6" x14ac:dyDescent="0.45">
      <c r="A12" s="4">
        <v>26</v>
      </c>
      <c r="B12" s="4" t="s">
        <v>28</v>
      </c>
      <c r="C12" s="4">
        <v>0.29771900000000001</v>
      </c>
      <c r="D12" s="4"/>
      <c r="E12" s="6">
        <f t="shared" si="0"/>
        <v>0</v>
      </c>
      <c r="F12" s="4">
        <f t="shared" si="1"/>
        <v>1</v>
      </c>
    </row>
    <row r="13" spans="1:6" x14ac:dyDescent="0.45">
      <c r="A13" s="4">
        <v>28</v>
      </c>
      <c r="B13" s="4" t="s">
        <v>29</v>
      </c>
      <c r="C13" s="4">
        <v>0.112619</v>
      </c>
      <c r="D13" s="4"/>
      <c r="E13" s="6">
        <f t="shared" si="0"/>
        <v>0</v>
      </c>
      <c r="F13" s="4">
        <f t="shared" si="1"/>
        <v>1</v>
      </c>
    </row>
    <row r="14" spans="1:6" x14ac:dyDescent="0.45">
      <c r="A14" s="4">
        <v>29</v>
      </c>
      <c r="B14" s="4" t="s">
        <v>0</v>
      </c>
      <c r="C14" s="4">
        <v>0.12209299999999999</v>
      </c>
      <c r="D14" s="4"/>
      <c r="E14" s="6">
        <f t="shared" si="0"/>
        <v>0</v>
      </c>
      <c r="F14" s="4">
        <f t="shared" si="1"/>
        <v>1</v>
      </c>
    </row>
    <row r="15" spans="1:6" x14ac:dyDescent="0.45">
      <c r="A15" s="4">
        <v>30</v>
      </c>
      <c r="B15" s="4" t="s">
        <v>30</v>
      </c>
      <c r="C15" s="4">
        <v>0.201846</v>
      </c>
      <c r="D15" s="4"/>
      <c r="E15" s="6">
        <f t="shared" si="0"/>
        <v>0</v>
      </c>
      <c r="F15" s="4">
        <f t="shared" si="1"/>
        <v>1</v>
      </c>
    </row>
    <row r="16" spans="1:6" x14ac:dyDescent="0.45">
      <c r="A16" s="4">
        <v>34</v>
      </c>
      <c r="B16" s="4" t="s">
        <v>48</v>
      </c>
      <c r="C16" s="4"/>
      <c r="D16" s="4">
        <v>0.34591300000000003</v>
      </c>
      <c r="E16" s="6">
        <f t="shared" si="0"/>
        <v>0</v>
      </c>
      <c r="F16" s="4">
        <f t="shared" si="1"/>
        <v>1</v>
      </c>
    </row>
    <row r="17" spans="1:6" x14ac:dyDescent="0.45">
      <c r="A17" s="4">
        <v>38</v>
      </c>
      <c r="B17" s="4" t="s">
        <v>49</v>
      </c>
      <c r="C17" s="4"/>
      <c r="D17" s="4">
        <v>-3.6150000000000002E-3</v>
      </c>
      <c r="E17" s="6">
        <f t="shared" si="0"/>
        <v>0</v>
      </c>
      <c r="F17" s="4">
        <f t="shared" si="1"/>
        <v>-1</v>
      </c>
    </row>
    <row r="18" spans="1:6" x14ac:dyDescent="0.45">
      <c r="A18" s="4">
        <v>39</v>
      </c>
      <c r="B18" s="4" t="s">
        <v>50</v>
      </c>
      <c r="C18" s="4"/>
      <c r="D18" s="4">
        <v>0.116741</v>
      </c>
      <c r="E18" s="6">
        <f t="shared" si="0"/>
        <v>0</v>
      </c>
      <c r="F18" s="4">
        <f t="shared" si="1"/>
        <v>1</v>
      </c>
    </row>
    <row r="19" spans="1:6" x14ac:dyDescent="0.45">
      <c r="A19" s="4">
        <v>41</v>
      </c>
      <c r="B19" s="4" t="s">
        <v>51</v>
      </c>
      <c r="C19" s="4"/>
      <c r="D19" s="4">
        <v>-0.16967399999999999</v>
      </c>
      <c r="E19" s="6">
        <f t="shared" si="0"/>
        <v>0</v>
      </c>
      <c r="F19" s="4">
        <f t="shared" si="1"/>
        <v>-1</v>
      </c>
    </row>
    <row r="20" spans="1:6" x14ac:dyDescent="0.45">
      <c r="A20" s="4">
        <v>46</v>
      </c>
      <c r="B20" s="4" t="s">
        <v>52</v>
      </c>
      <c r="C20" s="4"/>
      <c r="D20" s="4">
        <v>-0.29546800000000001</v>
      </c>
      <c r="E20" s="6">
        <f t="shared" si="0"/>
        <v>0</v>
      </c>
      <c r="F20" s="4">
        <f t="shared" si="1"/>
        <v>-1</v>
      </c>
    </row>
    <row r="21" spans="1:6" x14ac:dyDescent="0.45">
      <c r="A21" s="4">
        <v>51</v>
      </c>
      <c r="B21" s="4" t="s">
        <v>14</v>
      </c>
      <c r="C21" s="4"/>
      <c r="D21" s="4">
        <v>-0.13730999999999999</v>
      </c>
      <c r="E21" s="6">
        <f t="shared" si="0"/>
        <v>0</v>
      </c>
      <c r="F21" s="4">
        <f t="shared" si="1"/>
        <v>-1</v>
      </c>
    </row>
    <row r="22" spans="1:6" x14ac:dyDescent="0.45">
      <c r="A22" s="4">
        <v>53</v>
      </c>
      <c r="B22" s="4" t="s">
        <v>5</v>
      </c>
      <c r="C22" s="4">
        <v>-6.3541E-2</v>
      </c>
      <c r="D22" s="4">
        <v>-6.3541E-2</v>
      </c>
      <c r="E22" s="6">
        <f t="shared" si="0"/>
        <v>1</v>
      </c>
      <c r="F22" s="4">
        <f t="shared" si="1"/>
        <v>-1</v>
      </c>
    </row>
    <row r="23" spans="1:6" x14ac:dyDescent="0.45">
      <c r="A23" s="4">
        <v>58</v>
      </c>
      <c r="B23" s="4" t="s">
        <v>16</v>
      </c>
      <c r="C23" s="4"/>
      <c r="D23" s="4">
        <v>-0.170649</v>
      </c>
      <c r="E23" s="6">
        <f t="shared" si="0"/>
        <v>0</v>
      </c>
      <c r="F23" s="4">
        <f t="shared" si="1"/>
        <v>-1</v>
      </c>
    </row>
    <row r="24" spans="1:6" x14ac:dyDescent="0.45">
      <c r="A24" s="4">
        <v>59</v>
      </c>
      <c r="B24" s="4" t="s">
        <v>31</v>
      </c>
      <c r="C24" s="4">
        <v>5.3983000000000003E-2</v>
      </c>
      <c r="D24" s="4"/>
      <c r="E24" s="6">
        <f t="shared" si="0"/>
        <v>0</v>
      </c>
      <c r="F24" s="4">
        <f t="shared" si="1"/>
        <v>1</v>
      </c>
    </row>
    <row r="25" spans="1:6" x14ac:dyDescent="0.45">
      <c r="A25" s="4">
        <v>63</v>
      </c>
      <c r="B25" s="4" t="s">
        <v>17</v>
      </c>
      <c r="C25" s="4"/>
      <c r="D25" s="4">
        <v>8.2319999999999997E-3</v>
      </c>
      <c r="E25" s="6">
        <f t="shared" si="0"/>
        <v>0</v>
      </c>
      <c r="F25" s="4">
        <f t="shared" si="1"/>
        <v>1</v>
      </c>
    </row>
    <row r="26" spans="1:6" x14ac:dyDescent="0.45">
      <c r="A26" s="4">
        <v>64</v>
      </c>
      <c r="B26" s="4" t="s">
        <v>18</v>
      </c>
      <c r="C26" s="4"/>
      <c r="D26" s="4">
        <v>-2.7900000000000001E-4</v>
      </c>
      <c r="E26" s="6">
        <f t="shared" si="0"/>
        <v>0</v>
      </c>
      <c r="F26" s="4">
        <f t="shared" si="1"/>
        <v>-1</v>
      </c>
    </row>
    <row r="27" spans="1:6" x14ac:dyDescent="0.45">
      <c r="A27" s="4">
        <v>65</v>
      </c>
      <c r="B27" s="4" t="s">
        <v>19</v>
      </c>
      <c r="C27" s="4"/>
      <c r="D27" s="4">
        <v>-0.34504899999999999</v>
      </c>
      <c r="E27" s="6">
        <f t="shared" si="0"/>
        <v>0</v>
      </c>
      <c r="F27" s="4">
        <f t="shared" si="1"/>
        <v>-1</v>
      </c>
    </row>
    <row r="28" spans="1:6" x14ac:dyDescent="0.45">
      <c r="A28" s="4">
        <v>69</v>
      </c>
      <c r="B28" s="4" t="s">
        <v>7</v>
      </c>
      <c r="C28" s="4">
        <v>0.52087899999999998</v>
      </c>
      <c r="D28" s="4"/>
      <c r="E28" s="6">
        <f t="shared" si="0"/>
        <v>0</v>
      </c>
      <c r="F28" s="4">
        <f t="shared" si="1"/>
        <v>1</v>
      </c>
    </row>
    <row r="29" spans="1:6" x14ac:dyDescent="0.45">
      <c r="A29" s="4">
        <v>71</v>
      </c>
      <c r="B29" s="4" t="s">
        <v>20</v>
      </c>
      <c r="C29" s="4"/>
      <c r="D29" s="4">
        <v>-0.36873400000000001</v>
      </c>
      <c r="E29" s="6">
        <f t="shared" si="0"/>
        <v>0</v>
      </c>
      <c r="F29" s="4">
        <f t="shared" si="1"/>
        <v>-1</v>
      </c>
    </row>
    <row r="30" spans="1:6" x14ac:dyDescent="0.45">
      <c r="A30" s="4">
        <v>80</v>
      </c>
      <c r="B30" s="4" t="s">
        <v>32</v>
      </c>
      <c r="C30" s="4">
        <v>-6.5923999999999996E-2</v>
      </c>
      <c r="D30" s="4"/>
      <c r="E30" s="6">
        <f t="shared" si="0"/>
        <v>0</v>
      </c>
      <c r="F30" s="4">
        <f t="shared" si="1"/>
        <v>-1</v>
      </c>
    </row>
    <row r="31" spans="1:6" x14ac:dyDescent="0.45">
      <c r="A31" s="4">
        <v>82</v>
      </c>
      <c r="B31" s="4" t="s">
        <v>33</v>
      </c>
      <c r="C31" s="4">
        <v>0.103029</v>
      </c>
      <c r="D31" s="4"/>
      <c r="E31" s="6">
        <f t="shared" si="0"/>
        <v>0</v>
      </c>
      <c r="F31" s="4">
        <f t="shared" si="1"/>
        <v>1</v>
      </c>
    </row>
    <row r="32" spans="1:6" x14ac:dyDescent="0.45">
      <c r="A32" s="4">
        <v>102</v>
      </c>
      <c r="B32" s="4" t="s">
        <v>21</v>
      </c>
      <c r="C32" s="4"/>
      <c r="D32" s="4">
        <v>0.233762</v>
      </c>
      <c r="E32" s="6">
        <f t="shared" si="0"/>
        <v>0</v>
      </c>
      <c r="F32" s="4">
        <f t="shared" si="1"/>
        <v>1</v>
      </c>
    </row>
    <row r="33" spans="1:6" x14ac:dyDescent="0.45">
      <c r="A33" s="4">
        <v>106</v>
      </c>
      <c r="B33" s="4" t="s">
        <v>22</v>
      </c>
      <c r="C33" s="4"/>
      <c r="D33" s="4">
        <v>-0.131055</v>
      </c>
      <c r="E33" s="6">
        <f t="shared" si="0"/>
        <v>0</v>
      </c>
      <c r="F33" s="4">
        <f t="shared" si="1"/>
        <v>-1</v>
      </c>
    </row>
    <row r="34" spans="1:6" x14ac:dyDescent="0.45">
      <c r="A34" s="4">
        <v>107</v>
      </c>
      <c r="B34" s="4" t="s">
        <v>23</v>
      </c>
      <c r="C34" s="4"/>
      <c r="D34" s="4">
        <v>-6.4613000000000004E-2</v>
      </c>
      <c r="E34" s="6">
        <f t="shared" si="0"/>
        <v>0</v>
      </c>
      <c r="F34" s="4">
        <f t="shared" si="1"/>
        <v>-1</v>
      </c>
    </row>
    <row r="35" spans="1:6" x14ac:dyDescent="0.45">
      <c r="A35" s="4">
        <v>109</v>
      </c>
      <c r="B35" s="4" t="s">
        <v>24</v>
      </c>
      <c r="C35" s="4"/>
      <c r="D35" s="4">
        <v>-0.36570000000000003</v>
      </c>
      <c r="E35" s="6">
        <f t="shared" si="0"/>
        <v>0</v>
      </c>
      <c r="F35" s="4">
        <f t="shared" si="1"/>
        <v>-1</v>
      </c>
    </row>
    <row r="36" spans="1:6" x14ac:dyDescent="0.45">
      <c r="A36" s="4">
        <v>110</v>
      </c>
      <c r="B36" s="4" t="s">
        <v>15</v>
      </c>
      <c r="C36" s="4">
        <v>-7.5943999999999998E-2</v>
      </c>
      <c r="D36" s="4">
        <v>-7.5943999999999998E-2</v>
      </c>
      <c r="E36" s="6">
        <f t="shared" si="0"/>
        <v>1</v>
      </c>
      <c r="F36" s="4">
        <f t="shared" si="1"/>
        <v>-1</v>
      </c>
    </row>
    <row r="37" spans="1:6" x14ac:dyDescent="0.45">
      <c r="A37" s="4">
        <v>112</v>
      </c>
      <c r="B37" s="4" t="s">
        <v>25</v>
      </c>
      <c r="C37" s="4">
        <v>-0.528389</v>
      </c>
      <c r="D37" s="4"/>
      <c r="E37" s="6">
        <f t="shared" si="0"/>
        <v>0</v>
      </c>
      <c r="F37" s="4">
        <f t="shared" si="1"/>
        <v>-1</v>
      </c>
    </row>
    <row r="38" spans="1:6" x14ac:dyDescent="0.45">
      <c r="A38" s="1"/>
      <c r="B38" s="1"/>
      <c r="C38" s="1"/>
      <c r="D38" s="1"/>
    </row>
    <row r="39" spans="1:6" x14ac:dyDescent="0.45">
      <c r="A39" s="1"/>
      <c r="B39" s="1"/>
      <c r="C39" s="1"/>
      <c r="D39" s="1"/>
    </row>
    <row r="40" spans="1:6" x14ac:dyDescent="0.45">
      <c r="A40" s="1"/>
      <c r="B40" s="1"/>
      <c r="C40" s="1"/>
      <c r="D40" s="1"/>
    </row>
    <row r="41" spans="1:6" x14ac:dyDescent="0.45">
      <c r="A41" s="1"/>
      <c r="B41" s="1"/>
      <c r="C41" s="1"/>
      <c r="D41" s="1"/>
    </row>
    <row r="42" spans="1:6" x14ac:dyDescent="0.45">
      <c r="A42" s="1"/>
      <c r="B42" s="1"/>
      <c r="C42" s="1"/>
      <c r="D42" s="1"/>
    </row>
    <row r="43" spans="1:6" x14ac:dyDescent="0.45">
      <c r="A43" s="1"/>
      <c r="B43" s="1"/>
      <c r="C43" s="1"/>
      <c r="D43" s="1"/>
    </row>
    <row r="44" spans="1:6" x14ac:dyDescent="0.45">
      <c r="A44" s="1"/>
      <c r="B44" s="1"/>
      <c r="C44" s="1"/>
      <c r="D44" s="1"/>
    </row>
    <row r="45" spans="1:6" x14ac:dyDescent="0.45">
      <c r="A45" s="1"/>
      <c r="B45" s="1"/>
      <c r="C45" s="1"/>
      <c r="D45" s="1"/>
    </row>
    <row r="46" spans="1:6" x14ac:dyDescent="0.45">
      <c r="A46" s="1"/>
      <c r="B46" s="1"/>
      <c r="C46" s="1"/>
      <c r="D46" s="1"/>
    </row>
    <row r="47" spans="1:6" x14ac:dyDescent="0.45">
      <c r="A47" s="1"/>
      <c r="B47" s="1"/>
      <c r="C47" s="1"/>
      <c r="D47" s="1"/>
    </row>
    <row r="48" spans="1:6" x14ac:dyDescent="0.45">
      <c r="A48" s="1"/>
      <c r="B48" s="1"/>
      <c r="C48" s="1"/>
      <c r="D48" s="1"/>
    </row>
  </sheetData>
  <mergeCells count="4">
    <mergeCell ref="E1:E3"/>
    <mergeCell ref="F1:F3"/>
    <mergeCell ref="C1:D1"/>
    <mergeCell ref="A1:B2"/>
  </mergeCells>
  <conditionalFormatting sqref="E4:E37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CF10-CFF5-428B-A04A-20DA8E7163E6}">
  <dimension ref="A1:F42"/>
  <sheetViews>
    <sheetView workbookViewId="0">
      <selection sqref="A1:D3"/>
    </sheetView>
  </sheetViews>
  <sheetFormatPr defaultRowHeight="14.25" x14ac:dyDescent="0.45"/>
  <cols>
    <col min="1" max="1" width="11.06640625" style="1" customWidth="1"/>
    <col min="2" max="2" width="22.86328125" style="1" bestFit="1" customWidth="1"/>
    <col min="3" max="4" width="9.33203125" bestFit="1" customWidth="1"/>
    <col min="5" max="5" width="9.33203125" style="1" bestFit="1" customWidth="1"/>
    <col min="6" max="6" width="13.06640625" customWidth="1"/>
  </cols>
  <sheetData>
    <row r="1" spans="1:6" x14ac:dyDescent="0.45">
      <c r="A1" s="19"/>
      <c r="B1" s="19"/>
      <c r="C1" s="19" t="s">
        <v>54</v>
      </c>
      <c r="D1" s="19"/>
      <c r="E1" s="18" t="s">
        <v>58</v>
      </c>
      <c r="F1" s="18" t="s">
        <v>60</v>
      </c>
    </row>
    <row r="2" spans="1:6" x14ac:dyDescent="0.45">
      <c r="A2" s="19"/>
      <c r="B2" s="19"/>
      <c r="C2" s="3" t="s">
        <v>56</v>
      </c>
      <c r="D2" s="2" t="s">
        <v>55</v>
      </c>
      <c r="E2" s="18"/>
      <c r="F2" s="18"/>
    </row>
    <row r="3" spans="1:6" x14ac:dyDescent="0.45">
      <c r="A3" s="2" t="s">
        <v>1</v>
      </c>
      <c r="B3" s="2" t="s">
        <v>2</v>
      </c>
      <c r="C3" s="2" t="s">
        <v>3</v>
      </c>
      <c r="D3" s="2" t="s">
        <v>3</v>
      </c>
      <c r="E3" s="18"/>
      <c r="F3" s="18"/>
    </row>
    <row r="4" spans="1:6" x14ac:dyDescent="0.45">
      <c r="A4" s="4">
        <v>12</v>
      </c>
      <c r="B4" s="4" t="s">
        <v>34</v>
      </c>
      <c r="C4" s="4"/>
      <c r="D4" s="4">
        <v>-0.123667</v>
      </c>
      <c r="E4" s="4">
        <f t="shared" ref="E4:E31" si="0">IF(C4*D4&gt;0,1,0)</f>
        <v>0</v>
      </c>
      <c r="F4" s="5"/>
    </row>
    <row r="5" spans="1:6" x14ac:dyDescent="0.45">
      <c r="A5" s="4">
        <v>29</v>
      </c>
      <c r="B5" s="4" t="s">
        <v>0</v>
      </c>
      <c r="C5" s="4">
        <v>0.12209299999999999</v>
      </c>
      <c r="D5" s="4">
        <v>0.12209299999999999</v>
      </c>
      <c r="E5" s="4">
        <f t="shared" si="0"/>
        <v>1</v>
      </c>
      <c r="F5" s="5"/>
    </row>
    <row r="6" spans="1:6" x14ac:dyDescent="0.45">
      <c r="A6" s="4">
        <v>31</v>
      </c>
      <c r="B6" s="4" t="s">
        <v>35</v>
      </c>
      <c r="C6" s="4"/>
      <c r="D6" s="4">
        <v>8.5310000000000004E-3</v>
      </c>
      <c r="E6" s="4">
        <f t="shared" si="0"/>
        <v>0</v>
      </c>
      <c r="F6" s="5"/>
    </row>
    <row r="7" spans="1:6" x14ac:dyDescent="0.45">
      <c r="A7" s="4">
        <v>32</v>
      </c>
      <c r="B7" s="4" t="s">
        <v>36</v>
      </c>
      <c r="C7" s="4"/>
      <c r="D7" s="4">
        <v>0.56347400000000003</v>
      </c>
      <c r="E7" s="4">
        <f t="shared" si="0"/>
        <v>0</v>
      </c>
      <c r="F7" s="5"/>
    </row>
    <row r="8" spans="1:6" x14ac:dyDescent="0.45">
      <c r="A8" s="4">
        <v>45</v>
      </c>
      <c r="B8" s="4" t="s">
        <v>37</v>
      </c>
      <c r="C8" s="4"/>
      <c r="D8" s="4">
        <v>-0.181365</v>
      </c>
      <c r="E8" s="4">
        <f t="shared" si="0"/>
        <v>0</v>
      </c>
      <c r="F8" s="5"/>
    </row>
    <row r="9" spans="1:6" x14ac:dyDescent="0.45">
      <c r="A9" s="4">
        <v>47</v>
      </c>
      <c r="B9" s="4" t="s">
        <v>4</v>
      </c>
      <c r="C9" s="4">
        <v>0.54112400000000005</v>
      </c>
      <c r="D9" s="4">
        <v>0.54112400000000005</v>
      </c>
      <c r="E9" s="4">
        <f t="shared" si="0"/>
        <v>1</v>
      </c>
      <c r="F9" s="5"/>
    </row>
    <row r="10" spans="1:6" x14ac:dyDescent="0.45">
      <c r="A10" s="4">
        <v>48</v>
      </c>
      <c r="B10" s="4" t="s">
        <v>38</v>
      </c>
      <c r="C10" s="4"/>
      <c r="D10" s="4">
        <v>0.22862399999999999</v>
      </c>
      <c r="E10" s="4">
        <f t="shared" si="0"/>
        <v>0</v>
      </c>
      <c r="F10" s="5"/>
    </row>
    <row r="11" spans="1:6" x14ac:dyDescent="0.45">
      <c r="A11" s="4">
        <v>53</v>
      </c>
      <c r="B11" s="4" t="s">
        <v>5</v>
      </c>
      <c r="C11" s="4">
        <v>-6.3541E-2</v>
      </c>
      <c r="D11" s="4"/>
      <c r="E11" s="4">
        <f t="shared" si="0"/>
        <v>0</v>
      </c>
      <c r="F11" s="5"/>
    </row>
    <row r="12" spans="1:6" x14ac:dyDescent="0.45">
      <c r="A12" s="4">
        <v>54</v>
      </c>
      <c r="B12" s="4" t="s">
        <v>6</v>
      </c>
      <c r="C12" s="4">
        <v>3.3902000000000002E-2</v>
      </c>
      <c r="D12" s="4"/>
      <c r="E12" s="4">
        <f t="shared" si="0"/>
        <v>0</v>
      </c>
      <c r="F12" s="5"/>
    </row>
    <row r="13" spans="1:6" x14ac:dyDescent="0.45">
      <c r="A13" s="4">
        <v>58</v>
      </c>
      <c r="B13" s="4" t="s">
        <v>16</v>
      </c>
      <c r="C13" s="4"/>
      <c r="D13" s="4">
        <v>-0.170649</v>
      </c>
      <c r="E13" s="4">
        <f t="shared" si="0"/>
        <v>0</v>
      </c>
      <c r="F13" s="5"/>
    </row>
    <row r="14" spans="1:6" x14ac:dyDescent="0.45">
      <c r="A14" s="4">
        <v>59</v>
      </c>
      <c r="B14" s="4" t="s">
        <v>31</v>
      </c>
      <c r="C14" s="4"/>
      <c r="D14" s="4">
        <v>5.3983000000000003E-2</v>
      </c>
      <c r="E14" s="4">
        <f t="shared" si="0"/>
        <v>0</v>
      </c>
      <c r="F14" s="5"/>
    </row>
    <row r="15" spans="1:6" x14ac:dyDescent="0.45">
      <c r="A15" s="4">
        <v>60</v>
      </c>
      <c r="B15" s="4" t="s">
        <v>39</v>
      </c>
      <c r="C15" s="4"/>
      <c r="D15" s="4">
        <v>-0.57266300000000003</v>
      </c>
      <c r="E15" s="4">
        <f t="shared" si="0"/>
        <v>0</v>
      </c>
      <c r="F15" s="5"/>
    </row>
    <row r="16" spans="1:6" x14ac:dyDescent="0.45">
      <c r="A16" s="4">
        <v>62</v>
      </c>
      <c r="B16" s="4" t="s">
        <v>40</v>
      </c>
      <c r="C16" s="4"/>
      <c r="D16" s="4">
        <v>1.1603E-2</v>
      </c>
      <c r="E16" s="4">
        <f t="shared" si="0"/>
        <v>0</v>
      </c>
      <c r="F16" s="5"/>
    </row>
    <row r="17" spans="1:6" x14ac:dyDescent="0.45">
      <c r="A17" s="4">
        <v>63</v>
      </c>
      <c r="B17" s="4" t="s">
        <v>17</v>
      </c>
      <c r="C17" s="4"/>
      <c r="D17" s="4">
        <v>8.2319999999999997E-3</v>
      </c>
      <c r="E17" s="4">
        <f t="shared" si="0"/>
        <v>0</v>
      </c>
      <c r="F17" s="5"/>
    </row>
    <row r="18" spans="1:6" x14ac:dyDescent="0.45">
      <c r="A18" s="4">
        <v>69</v>
      </c>
      <c r="B18" s="4" t="s">
        <v>7</v>
      </c>
      <c r="C18" s="4">
        <v>0.52087899999999998</v>
      </c>
      <c r="D18" s="4"/>
      <c r="E18" s="4">
        <f t="shared" si="0"/>
        <v>0</v>
      </c>
      <c r="F18" s="5"/>
    </row>
    <row r="19" spans="1:6" x14ac:dyDescent="0.45">
      <c r="A19" s="4">
        <v>70</v>
      </c>
      <c r="B19" s="4" t="s">
        <v>8</v>
      </c>
      <c r="C19" s="4">
        <v>0.37872</v>
      </c>
      <c r="D19" s="4"/>
      <c r="E19" s="4">
        <f t="shared" si="0"/>
        <v>0</v>
      </c>
      <c r="F19" s="5"/>
    </row>
    <row r="20" spans="1:6" x14ac:dyDescent="0.45">
      <c r="A20" s="4">
        <v>71</v>
      </c>
      <c r="B20" s="4" t="s">
        <v>20</v>
      </c>
      <c r="C20" s="4"/>
      <c r="D20" s="4">
        <v>-0.36873400000000001</v>
      </c>
      <c r="E20" s="4">
        <f t="shared" si="0"/>
        <v>0</v>
      </c>
      <c r="F20" s="5"/>
    </row>
    <row r="21" spans="1:6" x14ac:dyDescent="0.45">
      <c r="A21" s="4">
        <v>72</v>
      </c>
      <c r="B21" s="4" t="s">
        <v>41</v>
      </c>
      <c r="C21" s="4"/>
      <c r="D21" s="4">
        <v>0.11189399999999999</v>
      </c>
      <c r="E21" s="4">
        <f t="shared" si="0"/>
        <v>0</v>
      </c>
      <c r="F21" s="5"/>
    </row>
    <row r="22" spans="1:6" x14ac:dyDescent="0.45">
      <c r="A22" s="4">
        <v>73</v>
      </c>
      <c r="B22" s="4" t="s">
        <v>42</v>
      </c>
      <c r="C22" s="4"/>
      <c r="D22" s="4">
        <v>-7.3916999999999997E-2</v>
      </c>
      <c r="E22" s="4">
        <f t="shared" si="0"/>
        <v>0</v>
      </c>
      <c r="F22" s="5"/>
    </row>
    <row r="23" spans="1:6" x14ac:dyDescent="0.45">
      <c r="A23" s="4">
        <v>75</v>
      </c>
      <c r="B23" s="4" t="s">
        <v>43</v>
      </c>
      <c r="C23" s="4"/>
      <c r="D23" s="4">
        <v>0.24411099999999999</v>
      </c>
      <c r="E23" s="4">
        <f t="shared" si="0"/>
        <v>0</v>
      </c>
      <c r="F23" s="5"/>
    </row>
    <row r="24" spans="1:6" x14ac:dyDescent="0.45">
      <c r="A24" s="4">
        <v>91</v>
      </c>
      <c r="B24" s="4" t="s">
        <v>44</v>
      </c>
      <c r="C24" s="4"/>
      <c r="D24" s="4">
        <v>0.103077</v>
      </c>
      <c r="E24" s="4">
        <f t="shared" si="0"/>
        <v>0</v>
      </c>
      <c r="F24" s="5"/>
    </row>
    <row r="25" spans="1:6" x14ac:dyDescent="0.45">
      <c r="A25" s="4">
        <v>92</v>
      </c>
      <c r="B25" s="4" t="s">
        <v>9</v>
      </c>
      <c r="C25" s="4">
        <v>0.54258600000000001</v>
      </c>
      <c r="D25" s="4"/>
      <c r="E25" s="4">
        <f t="shared" si="0"/>
        <v>0</v>
      </c>
      <c r="F25" s="5"/>
    </row>
    <row r="26" spans="1:6" x14ac:dyDescent="0.45">
      <c r="A26" s="4">
        <v>93</v>
      </c>
      <c r="B26" s="4" t="s">
        <v>12</v>
      </c>
      <c r="C26" s="4">
        <v>0.73672899999999997</v>
      </c>
      <c r="D26" s="4"/>
      <c r="E26" s="4">
        <f t="shared" si="0"/>
        <v>0</v>
      </c>
      <c r="F26" s="5"/>
    </row>
    <row r="27" spans="1:6" x14ac:dyDescent="0.45">
      <c r="A27" s="4">
        <v>97</v>
      </c>
      <c r="B27" s="4" t="s">
        <v>11</v>
      </c>
      <c r="C27" s="4">
        <v>-0.17536499999999999</v>
      </c>
      <c r="D27" s="4">
        <v>-0.17536499999999999</v>
      </c>
      <c r="E27" s="4">
        <f t="shared" si="0"/>
        <v>1</v>
      </c>
      <c r="F27" s="5"/>
    </row>
    <row r="28" spans="1:6" x14ac:dyDescent="0.45">
      <c r="A28" s="4">
        <v>98</v>
      </c>
      <c r="B28" s="4" t="s">
        <v>10</v>
      </c>
      <c r="C28" s="4">
        <v>-0.28884399999999999</v>
      </c>
      <c r="D28" s="4"/>
      <c r="E28" s="4">
        <f t="shared" si="0"/>
        <v>0</v>
      </c>
      <c r="F28" s="5"/>
    </row>
    <row r="29" spans="1:6" x14ac:dyDescent="0.45">
      <c r="A29" s="4">
        <v>103</v>
      </c>
      <c r="B29" s="4" t="s">
        <v>13</v>
      </c>
      <c r="C29" s="4">
        <v>0.142377</v>
      </c>
      <c r="D29" s="4"/>
      <c r="E29" s="4">
        <f t="shared" si="0"/>
        <v>0</v>
      </c>
      <c r="F29" s="5"/>
    </row>
    <row r="30" spans="1:6" x14ac:dyDescent="0.45">
      <c r="A30" s="4">
        <v>109</v>
      </c>
      <c r="B30" s="4" t="s">
        <v>24</v>
      </c>
      <c r="C30" s="4">
        <v>-0.36570000000000003</v>
      </c>
      <c r="D30" s="4"/>
      <c r="E30" s="4">
        <f t="shared" si="0"/>
        <v>0</v>
      </c>
      <c r="F30" s="5"/>
    </row>
    <row r="31" spans="1:6" x14ac:dyDescent="0.45">
      <c r="A31" s="4">
        <v>112</v>
      </c>
      <c r="B31" s="4" t="s">
        <v>25</v>
      </c>
      <c r="C31" s="4">
        <v>-0.528389</v>
      </c>
      <c r="D31" s="4"/>
      <c r="E31" s="4">
        <f t="shared" si="0"/>
        <v>0</v>
      </c>
      <c r="F31" s="5"/>
    </row>
    <row r="32" spans="1:6" x14ac:dyDescent="0.45">
      <c r="C32" s="1"/>
      <c r="D32" s="1"/>
    </row>
    <row r="33" spans="3:4" x14ac:dyDescent="0.45">
      <c r="C33" s="1"/>
      <c r="D33" s="1"/>
    </row>
    <row r="34" spans="3:4" x14ac:dyDescent="0.45">
      <c r="C34" s="1"/>
      <c r="D34" s="1"/>
    </row>
    <row r="35" spans="3:4" x14ac:dyDescent="0.45">
      <c r="C35" s="1"/>
      <c r="D35" s="1"/>
    </row>
    <row r="36" spans="3:4" x14ac:dyDescent="0.45">
      <c r="C36" s="1"/>
      <c r="D36" s="1"/>
    </row>
    <row r="37" spans="3:4" x14ac:dyDescent="0.45">
      <c r="C37" s="1"/>
      <c r="D37" s="1"/>
    </row>
    <row r="38" spans="3:4" x14ac:dyDescent="0.45">
      <c r="C38" s="1"/>
      <c r="D38" s="1"/>
    </row>
    <row r="39" spans="3:4" x14ac:dyDescent="0.45">
      <c r="C39" s="1"/>
      <c r="D39" s="1"/>
    </row>
    <row r="40" spans="3:4" x14ac:dyDescent="0.45">
      <c r="C40" s="1"/>
      <c r="D40" s="1"/>
    </row>
    <row r="41" spans="3:4" x14ac:dyDescent="0.45">
      <c r="C41" s="1"/>
      <c r="D41" s="1"/>
    </row>
    <row r="42" spans="3:4" x14ac:dyDescent="0.45">
      <c r="C42" s="1"/>
      <c r="D42" s="1"/>
    </row>
  </sheetData>
  <mergeCells count="4">
    <mergeCell ref="E1:E3"/>
    <mergeCell ref="F1:F3"/>
    <mergeCell ref="A1:B2"/>
    <mergeCell ref="C1:D1"/>
  </mergeCells>
  <conditionalFormatting sqref="E4:E31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309B-31FD-4A87-9923-FC4D605CD7A3}">
  <dimension ref="A6:K24"/>
  <sheetViews>
    <sheetView topLeftCell="A4" workbookViewId="0">
      <selection activeCell="C14" sqref="C14:E24"/>
    </sheetView>
  </sheetViews>
  <sheetFormatPr defaultRowHeight="14.25" x14ac:dyDescent="0.45"/>
  <cols>
    <col min="9" max="9" width="16.19921875" customWidth="1"/>
    <col min="10" max="10" width="30.53125" customWidth="1"/>
    <col min="11" max="11" width="42.6640625" customWidth="1"/>
  </cols>
  <sheetData>
    <row r="6" spans="1:11" ht="14.65" thickBot="1" x14ac:dyDescent="0.5"/>
    <row r="7" spans="1:11" ht="14.65" thickBot="1" x14ac:dyDescent="0.5">
      <c r="A7" s="7"/>
      <c r="B7" s="8" t="s">
        <v>61</v>
      </c>
      <c r="C7" s="8" t="s">
        <v>62</v>
      </c>
      <c r="E7" s="7"/>
      <c r="F7" s="8" t="s">
        <v>61</v>
      </c>
      <c r="G7" s="8" t="s">
        <v>62</v>
      </c>
      <c r="I7" s="7"/>
      <c r="J7" s="8" t="s">
        <v>61</v>
      </c>
      <c r="K7" s="8" t="s">
        <v>62</v>
      </c>
    </row>
    <row r="8" spans="1:11" ht="28.5" x14ac:dyDescent="0.45">
      <c r="A8" s="20" t="s">
        <v>63</v>
      </c>
      <c r="B8" s="9" t="s">
        <v>64</v>
      </c>
      <c r="C8" s="20" t="s">
        <v>67</v>
      </c>
      <c r="E8" s="20" t="s">
        <v>63</v>
      </c>
      <c r="F8" s="9" t="s">
        <v>64</v>
      </c>
      <c r="G8" s="20" t="s">
        <v>67</v>
      </c>
      <c r="I8" s="20" t="s">
        <v>72</v>
      </c>
      <c r="J8" s="9" t="s">
        <v>73</v>
      </c>
      <c r="K8" s="9" t="s">
        <v>83</v>
      </c>
    </row>
    <row r="9" spans="1:11" ht="42.75" x14ac:dyDescent="0.45">
      <c r="A9" s="21"/>
      <c r="B9" s="9" t="s">
        <v>65</v>
      </c>
      <c r="C9" s="21"/>
      <c r="E9" s="21"/>
      <c r="F9" s="9" t="s">
        <v>65</v>
      </c>
      <c r="G9" s="21"/>
      <c r="I9" s="21"/>
      <c r="J9" s="9" t="s">
        <v>74</v>
      </c>
      <c r="K9" s="9" t="s">
        <v>84</v>
      </c>
    </row>
    <row r="10" spans="1:11" ht="43.15" thickBot="1" x14ac:dyDescent="0.5">
      <c r="A10" s="22"/>
      <c r="B10" s="10" t="s">
        <v>66</v>
      </c>
      <c r="C10" s="22"/>
      <c r="E10" s="22"/>
      <c r="F10" s="10" t="s">
        <v>66</v>
      </c>
      <c r="G10" s="22"/>
      <c r="I10" s="21"/>
      <c r="J10" s="9" t="s">
        <v>75</v>
      </c>
      <c r="K10" s="9" t="s">
        <v>85</v>
      </c>
    </row>
    <row r="11" spans="1:11" ht="28.5" x14ac:dyDescent="0.45">
      <c r="A11" s="20" t="s">
        <v>68</v>
      </c>
      <c r="B11" s="20" t="s">
        <v>69</v>
      </c>
      <c r="C11" s="9" t="s">
        <v>70</v>
      </c>
      <c r="E11" s="20" t="s">
        <v>68</v>
      </c>
      <c r="F11" s="20" t="s">
        <v>69</v>
      </c>
      <c r="G11" s="9" t="s">
        <v>70</v>
      </c>
      <c r="I11" s="21"/>
      <c r="J11" s="9" t="s">
        <v>76</v>
      </c>
      <c r="K11" s="9" t="s">
        <v>86</v>
      </c>
    </row>
    <row r="12" spans="1:11" ht="28.9" thickBot="1" x14ac:dyDescent="0.5">
      <c r="A12" s="22"/>
      <c r="B12" s="22"/>
      <c r="C12" s="10" t="s">
        <v>71</v>
      </c>
      <c r="E12" s="22"/>
      <c r="F12" s="22"/>
      <c r="G12" s="10" t="s">
        <v>71</v>
      </c>
      <c r="I12" s="21"/>
      <c r="J12" s="9" t="s">
        <v>77</v>
      </c>
      <c r="K12" s="11"/>
    </row>
    <row r="13" spans="1:11" ht="14.65" thickBot="1" x14ac:dyDescent="0.5">
      <c r="I13" s="21"/>
      <c r="J13" s="9" t="s">
        <v>78</v>
      </c>
      <c r="K13" s="11"/>
    </row>
    <row r="14" spans="1:11" ht="42.75" customHeight="1" thickBot="1" x14ac:dyDescent="0.5">
      <c r="C14" s="7"/>
      <c r="D14" s="8" t="s">
        <v>61</v>
      </c>
      <c r="E14" s="8" t="s">
        <v>62</v>
      </c>
      <c r="I14" s="21"/>
      <c r="J14" s="9" t="s">
        <v>79</v>
      </c>
      <c r="K14" s="11"/>
    </row>
    <row r="15" spans="1:11" ht="42.75" customHeight="1" x14ac:dyDescent="0.45">
      <c r="C15" s="20" t="s">
        <v>98</v>
      </c>
      <c r="D15" s="9" t="s">
        <v>99</v>
      </c>
      <c r="E15" s="9" t="s">
        <v>103</v>
      </c>
      <c r="I15" s="21"/>
      <c r="J15" s="9" t="s">
        <v>80</v>
      </c>
      <c r="K15" s="11"/>
    </row>
    <row r="16" spans="1:11" ht="28.5" customHeight="1" x14ac:dyDescent="0.45">
      <c r="C16" s="21"/>
      <c r="D16" s="9" t="s">
        <v>100</v>
      </c>
      <c r="E16" s="9" t="s">
        <v>82</v>
      </c>
      <c r="I16" s="21"/>
      <c r="J16" s="9" t="s">
        <v>81</v>
      </c>
      <c r="K16" s="11"/>
    </row>
    <row r="17" spans="3:11" ht="28.9" customHeight="1" thickBot="1" x14ac:dyDescent="0.5">
      <c r="C17" s="21"/>
      <c r="D17" s="9" t="s">
        <v>101</v>
      </c>
      <c r="E17" s="9" t="s">
        <v>102</v>
      </c>
      <c r="I17" s="22"/>
      <c r="J17" s="10" t="s">
        <v>82</v>
      </c>
      <c r="K17" s="12"/>
    </row>
    <row r="18" spans="3:11" ht="28.5" customHeight="1" thickBot="1" x14ac:dyDescent="0.5">
      <c r="C18" s="22"/>
      <c r="D18" s="10" t="s">
        <v>102</v>
      </c>
      <c r="E18" s="13"/>
      <c r="I18" s="20" t="s">
        <v>87</v>
      </c>
      <c r="J18" s="9" t="s">
        <v>88</v>
      </c>
      <c r="K18" s="9" t="s">
        <v>93</v>
      </c>
    </row>
    <row r="19" spans="3:11" ht="28.5" customHeight="1" x14ac:dyDescent="0.45">
      <c r="C19" s="20" t="s">
        <v>104</v>
      </c>
      <c r="D19" s="9" t="s">
        <v>105</v>
      </c>
      <c r="E19" s="9" t="s">
        <v>110</v>
      </c>
      <c r="I19" s="21"/>
      <c r="J19" s="9" t="s">
        <v>89</v>
      </c>
      <c r="K19" s="9" t="s">
        <v>94</v>
      </c>
    </row>
    <row r="20" spans="3:11" ht="28.5" customHeight="1" x14ac:dyDescent="0.45">
      <c r="C20" s="21"/>
      <c r="D20" s="9" t="s">
        <v>106</v>
      </c>
      <c r="E20" s="9" t="s">
        <v>108</v>
      </c>
      <c r="I20" s="21"/>
      <c r="J20" s="9" t="s">
        <v>90</v>
      </c>
      <c r="K20" s="9" t="s">
        <v>95</v>
      </c>
    </row>
    <row r="21" spans="3:11" ht="28.5" customHeight="1" x14ac:dyDescent="0.45">
      <c r="C21" s="21"/>
      <c r="D21" s="9" t="s">
        <v>93</v>
      </c>
      <c r="E21" s="9" t="s">
        <v>111</v>
      </c>
      <c r="I21" s="21"/>
      <c r="J21" s="9" t="s">
        <v>91</v>
      </c>
      <c r="K21" s="9" t="s">
        <v>96</v>
      </c>
    </row>
    <row r="22" spans="3:11" ht="28.9" customHeight="1" thickBot="1" x14ac:dyDescent="0.5">
      <c r="C22" s="21"/>
      <c r="D22" s="9" t="s">
        <v>107</v>
      </c>
      <c r="E22" s="9" t="s">
        <v>112</v>
      </c>
      <c r="I22" s="22"/>
      <c r="J22" s="10" t="s">
        <v>92</v>
      </c>
      <c r="K22" s="10" t="s">
        <v>97</v>
      </c>
    </row>
    <row r="23" spans="3:11" ht="28.5" x14ac:dyDescent="0.45">
      <c r="C23" s="21"/>
      <c r="D23" s="9" t="s">
        <v>108</v>
      </c>
      <c r="E23" s="9" t="s">
        <v>113</v>
      </c>
    </row>
    <row r="24" spans="3:11" ht="28.9" thickBot="1" x14ac:dyDescent="0.5">
      <c r="C24" s="22"/>
      <c r="D24" s="10" t="s">
        <v>109</v>
      </c>
      <c r="E24" s="13"/>
    </row>
  </sheetData>
  <mergeCells count="12">
    <mergeCell ref="I8:I17"/>
    <mergeCell ref="I18:I22"/>
    <mergeCell ref="C15:C18"/>
    <mergeCell ref="C19:C24"/>
    <mergeCell ref="A8:A10"/>
    <mergeCell ref="C8:C10"/>
    <mergeCell ref="A11:A12"/>
    <mergeCell ref="B11:B12"/>
    <mergeCell ref="E8:E10"/>
    <mergeCell ref="G8:G10"/>
    <mergeCell ref="E11:E12"/>
    <mergeCell ref="F11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13C9-BC71-47C6-9DB0-4513B14E06D7}">
  <dimension ref="A1:E62"/>
  <sheetViews>
    <sheetView tabSelected="1" topLeftCell="A15" workbookViewId="0">
      <selection activeCell="D52" sqref="D52"/>
    </sheetView>
  </sheetViews>
  <sheetFormatPr defaultRowHeight="14.25" x14ac:dyDescent="0.45"/>
  <cols>
    <col min="2" max="2" width="24" customWidth="1"/>
    <col min="12" max="12" width="21.53125" customWidth="1"/>
  </cols>
  <sheetData>
    <row r="1" spans="1:5" x14ac:dyDescent="0.45">
      <c r="A1" s="19"/>
      <c r="B1" s="19"/>
      <c r="C1" s="19" t="s">
        <v>53</v>
      </c>
      <c r="D1" s="19"/>
      <c r="E1" s="5"/>
    </row>
    <row r="2" spans="1:5" x14ac:dyDescent="0.45">
      <c r="A2" s="19"/>
      <c r="B2" s="19"/>
      <c r="C2" s="2" t="s">
        <v>56</v>
      </c>
      <c r="D2" s="2" t="s">
        <v>55</v>
      </c>
      <c r="E2" s="2" t="s">
        <v>145</v>
      </c>
    </row>
    <row r="3" spans="1:5" x14ac:dyDescent="0.45">
      <c r="A3" s="2" t="s">
        <v>1</v>
      </c>
      <c r="B3" s="2" t="s">
        <v>2</v>
      </c>
      <c r="C3" s="2" t="s">
        <v>3</v>
      </c>
      <c r="D3" s="2" t="s">
        <v>3</v>
      </c>
      <c r="E3" s="26" t="s">
        <v>3</v>
      </c>
    </row>
    <row r="4" spans="1:5" x14ac:dyDescent="0.45">
      <c r="A4" s="5">
        <v>0</v>
      </c>
      <c r="B4" s="5" t="s">
        <v>119</v>
      </c>
      <c r="C4" s="4">
        <v>0.34</v>
      </c>
      <c r="D4" s="4"/>
      <c r="E4" s="5"/>
    </row>
    <row r="5" spans="1:5" x14ac:dyDescent="0.45">
      <c r="A5" s="5">
        <v>4</v>
      </c>
      <c r="B5" s="5" t="s">
        <v>114</v>
      </c>
      <c r="C5" s="5"/>
      <c r="D5" s="5">
        <v>-0.9</v>
      </c>
      <c r="E5" s="5"/>
    </row>
    <row r="6" spans="1:5" x14ac:dyDescent="0.45">
      <c r="A6" s="5">
        <v>6</v>
      </c>
      <c r="B6" s="5" t="s">
        <v>40</v>
      </c>
      <c r="C6" s="5">
        <v>0.14000000000000001</v>
      </c>
      <c r="D6" s="5"/>
      <c r="E6" s="5"/>
    </row>
    <row r="7" spans="1:5" x14ac:dyDescent="0.45">
      <c r="A7" s="5">
        <v>10</v>
      </c>
      <c r="B7" s="5" t="s">
        <v>115</v>
      </c>
      <c r="C7" s="5">
        <v>0.73</v>
      </c>
      <c r="D7" s="5"/>
      <c r="E7" s="5"/>
    </row>
    <row r="8" spans="1:5" x14ac:dyDescent="0.45">
      <c r="A8" s="5">
        <v>11</v>
      </c>
      <c r="B8" s="5" t="s">
        <v>128</v>
      </c>
      <c r="C8" s="5"/>
      <c r="D8" s="5">
        <v>0.64</v>
      </c>
      <c r="E8" s="5"/>
    </row>
    <row r="9" spans="1:5" x14ac:dyDescent="0.45">
      <c r="A9" s="28">
        <v>14</v>
      </c>
      <c r="B9" s="28" t="s">
        <v>20</v>
      </c>
      <c r="C9" s="28"/>
      <c r="D9" s="28">
        <v>0.53</v>
      </c>
      <c r="E9" s="28">
        <v>0.26</v>
      </c>
    </row>
    <row r="10" spans="1:5" x14ac:dyDescent="0.45">
      <c r="A10" s="5">
        <v>18</v>
      </c>
      <c r="B10" s="5" t="s">
        <v>121</v>
      </c>
      <c r="C10" s="5"/>
      <c r="D10" s="5"/>
      <c r="E10" s="5">
        <v>0.79</v>
      </c>
    </row>
    <row r="11" spans="1:5" x14ac:dyDescent="0.45">
      <c r="A11" s="5">
        <v>19</v>
      </c>
      <c r="B11" s="5" t="s">
        <v>124</v>
      </c>
      <c r="C11" s="5">
        <v>0.25</v>
      </c>
      <c r="D11" s="5"/>
      <c r="E11" s="5"/>
    </row>
    <row r="12" spans="1:5" x14ac:dyDescent="0.45">
      <c r="A12" s="5">
        <v>20</v>
      </c>
      <c r="B12" s="5" t="s">
        <v>27</v>
      </c>
      <c r="C12" s="5">
        <v>0.51</v>
      </c>
      <c r="D12" s="5"/>
      <c r="E12" s="5"/>
    </row>
    <row r="13" spans="1:5" x14ac:dyDescent="0.45">
      <c r="A13" s="5">
        <v>21</v>
      </c>
      <c r="B13" s="5" t="s">
        <v>142</v>
      </c>
      <c r="C13" s="5"/>
      <c r="D13" s="5"/>
      <c r="E13" s="5">
        <v>0.71</v>
      </c>
    </row>
    <row r="14" spans="1:5" x14ac:dyDescent="0.45">
      <c r="A14" s="5">
        <v>23</v>
      </c>
      <c r="B14" s="5" t="s">
        <v>47</v>
      </c>
      <c r="C14" s="5"/>
      <c r="D14" s="5"/>
      <c r="E14" s="5">
        <v>-0.19</v>
      </c>
    </row>
    <row r="15" spans="1:5" x14ac:dyDescent="0.45">
      <c r="A15" s="28">
        <v>30</v>
      </c>
      <c r="B15" s="28" t="s">
        <v>120</v>
      </c>
      <c r="C15" s="28"/>
      <c r="D15" s="28">
        <v>0.62</v>
      </c>
      <c r="E15" s="28">
        <v>1.01</v>
      </c>
    </row>
    <row r="16" spans="1:5" x14ac:dyDescent="0.45">
      <c r="A16" s="5">
        <v>37</v>
      </c>
      <c r="B16" s="5" t="s">
        <v>135</v>
      </c>
      <c r="C16" s="5"/>
      <c r="D16" s="5">
        <v>0.37</v>
      </c>
      <c r="E16" s="5"/>
    </row>
    <row r="17" spans="1:5" x14ac:dyDescent="0.45">
      <c r="A17" s="5">
        <v>40</v>
      </c>
      <c r="B17" s="5" t="s">
        <v>11</v>
      </c>
      <c r="C17" s="5">
        <v>0.61</v>
      </c>
      <c r="D17" s="5"/>
      <c r="E17" s="5"/>
    </row>
    <row r="18" spans="1:5" x14ac:dyDescent="0.45">
      <c r="A18" s="28">
        <v>41</v>
      </c>
      <c r="B18" s="28" t="s">
        <v>51</v>
      </c>
      <c r="C18" s="28"/>
      <c r="D18" s="28">
        <v>-0.51</v>
      </c>
      <c r="E18" s="28">
        <v>-0.62</v>
      </c>
    </row>
    <row r="19" spans="1:5" x14ac:dyDescent="0.45">
      <c r="A19" s="23">
        <v>46</v>
      </c>
      <c r="B19" s="23" t="s">
        <v>52</v>
      </c>
      <c r="C19" s="23"/>
      <c r="D19" s="23">
        <v>0.66</v>
      </c>
      <c r="E19" s="5"/>
    </row>
    <row r="20" spans="1:5" x14ac:dyDescent="0.45">
      <c r="A20" s="5">
        <v>48</v>
      </c>
      <c r="B20" s="15" t="s">
        <v>136</v>
      </c>
      <c r="C20" s="15">
        <v>-0.16</v>
      </c>
      <c r="D20" s="15">
        <v>-0.16</v>
      </c>
      <c r="E20" s="5"/>
    </row>
    <row r="21" spans="1:5" x14ac:dyDescent="0.45">
      <c r="A21" s="5">
        <v>52</v>
      </c>
      <c r="B21" s="5" t="s">
        <v>132</v>
      </c>
      <c r="C21" s="5"/>
      <c r="D21" s="5"/>
      <c r="E21" s="5">
        <v>0.33</v>
      </c>
    </row>
    <row r="22" spans="1:5" x14ac:dyDescent="0.45">
      <c r="A22" s="5">
        <v>53</v>
      </c>
      <c r="B22" s="5" t="s">
        <v>15</v>
      </c>
      <c r="C22" s="5"/>
      <c r="D22" s="5">
        <v>-0.75</v>
      </c>
      <c r="E22" s="5"/>
    </row>
    <row r="23" spans="1:5" x14ac:dyDescent="0.45">
      <c r="A23" s="5">
        <v>54</v>
      </c>
      <c r="B23" s="5" t="s">
        <v>126</v>
      </c>
      <c r="C23" s="5"/>
      <c r="D23" s="5">
        <v>-1.03</v>
      </c>
      <c r="E23" s="5"/>
    </row>
    <row r="24" spans="1:5" x14ac:dyDescent="0.45">
      <c r="A24" s="5">
        <v>55</v>
      </c>
      <c r="B24" s="5" t="s">
        <v>127</v>
      </c>
      <c r="C24" s="5"/>
      <c r="D24" s="5">
        <v>-1.45</v>
      </c>
      <c r="E24" s="5"/>
    </row>
    <row r="25" spans="1:5" x14ac:dyDescent="0.45">
      <c r="A25" s="5">
        <v>57</v>
      </c>
      <c r="B25" s="5" t="s">
        <v>137</v>
      </c>
      <c r="C25" s="5">
        <v>-0.76</v>
      </c>
      <c r="D25" s="5"/>
      <c r="E25" s="5"/>
    </row>
    <row r="26" spans="1:5" x14ac:dyDescent="0.45">
      <c r="A26" s="5">
        <v>60</v>
      </c>
      <c r="B26" s="5" t="s">
        <v>16</v>
      </c>
      <c r="C26" s="5"/>
      <c r="D26" s="5"/>
      <c r="E26" s="5">
        <v>0.57999999999999996</v>
      </c>
    </row>
    <row r="27" spans="1:5" x14ac:dyDescent="0.45">
      <c r="A27" s="5">
        <v>61</v>
      </c>
      <c r="B27" s="5" t="s">
        <v>31</v>
      </c>
      <c r="C27" s="5"/>
      <c r="D27" s="5"/>
      <c r="E27" s="5">
        <v>0.57999999999999996</v>
      </c>
    </row>
    <row r="28" spans="1:5" x14ac:dyDescent="0.45">
      <c r="A28" s="5">
        <v>65</v>
      </c>
      <c r="B28" s="5" t="s">
        <v>17</v>
      </c>
      <c r="C28" s="5"/>
      <c r="D28" s="5">
        <v>-0.57999999999999996</v>
      </c>
      <c r="E28" s="5"/>
    </row>
    <row r="29" spans="1:5" x14ac:dyDescent="0.45">
      <c r="A29" s="5">
        <v>66</v>
      </c>
      <c r="B29" s="5" t="s">
        <v>18</v>
      </c>
      <c r="C29" s="5"/>
      <c r="D29" s="5"/>
      <c r="E29" s="5">
        <v>0.56999999999999995</v>
      </c>
    </row>
    <row r="30" spans="1:5" x14ac:dyDescent="0.45">
      <c r="A30" s="5">
        <v>67</v>
      </c>
      <c r="B30" s="5" t="s">
        <v>19</v>
      </c>
      <c r="C30" s="5"/>
      <c r="D30" s="5"/>
      <c r="E30" s="5">
        <v>0.36</v>
      </c>
    </row>
    <row r="31" spans="1:5" x14ac:dyDescent="0.45">
      <c r="A31" s="5">
        <v>68</v>
      </c>
      <c r="B31" s="5" t="s">
        <v>143</v>
      </c>
      <c r="C31" s="5"/>
      <c r="D31" s="5"/>
      <c r="E31" s="5">
        <v>0.4</v>
      </c>
    </row>
    <row r="32" spans="1:5" x14ac:dyDescent="0.45">
      <c r="A32" s="5">
        <v>69</v>
      </c>
      <c r="B32" s="5" t="s">
        <v>115</v>
      </c>
      <c r="C32" s="5">
        <v>0.28000000000000003</v>
      </c>
      <c r="D32" s="5"/>
      <c r="E32" s="5"/>
    </row>
    <row r="33" spans="1:5" x14ac:dyDescent="0.45">
      <c r="A33" s="5">
        <v>70</v>
      </c>
      <c r="B33" s="5" t="s">
        <v>128</v>
      </c>
      <c r="C33" s="5"/>
      <c r="D33" s="5">
        <v>1.1399999999999999</v>
      </c>
      <c r="E33" s="5"/>
    </row>
    <row r="34" spans="1:5" x14ac:dyDescent="0.45">
      <c r="A34" s="5">
        <v>71</v>
      </c>
      <c r="B34" s="5" t="s">
        <v>123</v>
      </c>
      <c r="C34" s="5"/>
      <c r="D34" s="5">
        <v>0.79</v>
      </c>
      <c r="E34" s="5"/>
    </row>
    <row r="35" spans="1:5" x14ac:dyDescent="0.45">
      <c r="A35" s="5">
        <v>72</v>
      </c>
      <c r="B35" s="5" t="s">
        <v>129</v>
      </c>
      <c r="C35" s="5"/>
      <c r="D35" s="5"/>
      <c r="E35" s="5">
        <v>0.64</v>
      </c>
    </row>
    <row r="36" spans="1:5" x14ac:dyDescent="0.45">
      <c r="A36" s="5">
        <v>74</v>
      </c>
      <c r="B36" s="5" t="s">
        <v>41</v>
      </c>
      <c r="C36" s="5"/>
      <c r="D36" s="5">
        <v>0.66</v>
      </c>
      <c r="E36" s="5"/>
    </row>
    <row r="37" spans="1:5" x14ac:dyDescent="0.45">
      <c r="A37" s="5">
        <v>75</v>
      </c>
      <c r="B37" s="5" t="s">
        <v>42</v>
      </c>
      <c r="C37" s="5"/>
      <c r="D37" s="5">
        <v>1</v>
      </c>
      <c r="E37" s="5"/>
    </row>
    <row r="38" spans="1:5" x14ac:dyDescent="0.45">
      <c r="A38" s="28">
        <v>76</v>
      </c>
      <c r="B38" s="28" t="s">
        <v>138</v>
      </c>
      <c r="C38" s="28"/>
      <c r="D38" s="28">
        <v>0.55000000000000004</v>
      </c>
      <c r="E38" s="28">
        <v>-1.06</v>
      </c>
    </row>
    <row r="39" spans="1:5" x14ac:dyDescent="0.45">
      <c r="A39" s="5">
        <v>78</v>
      </c>
      <c r="B39" s="5" t="s">
        <v>121</v>
      </c>
      <c r="C39" s="5"/>
      <c r="D39" s="5"/>
      <c r="E39" s="5">
        <v>-0.64</v>
      </c>
    </row>
    <row r="40" spans="1:5" x14ac:dyDescent="0.45">
      <c r="A40" s="5">
        <v>79</v>
      </c>
      <c r="B40" s="5" t="s">
        <v>124</v>
      </c>
      <c r="C40" s="5">
        <v>0.28000000000000003</v>
      </c>
      <c r="D40" s="5"/>
      <c r="E40" s="5"/>
    </row>
    <row r="41" spans="1:5" x14ac:dyDescent="0.45">
      <c r="A41" s="5">
        <v>81</v>
      </c>
      <c r="B41" s="5" t="s">
        <v>142</v>
      </c>
      <c r="C41" s="5"/>
      <c r="D41" s="5"/>
      <c r="E41" s="5">
        <v>-0.35</v>
      </c>
    </row>
    <row r="42" spans="1:5" x14ac:dyDescent="0.45">
      <c r="A42" s="5">
        <v>82</v>
      </c>
      <c r="B42" s="5" t="s">
        <v>32</v>
      </c>
      <c r="C42" s="5"/>
      <c r="D42" s="5">
        <v>0.43</v>
      </c>
      <c r="E42" s="5"/>
    </row>
    <row r="43" spans="1:5" x14ac:dyDescent="0.45">
      <c r="A43" s="28">
        <v>83</v>
      </c>
      <c r="B43" s="28" t="s">
        <v>47</v>
      </c>
      <c r="C43" s="28"/>
      <c r="D43" s="28">
        <v>0.28999999999999998</v>
      </c>
      <c r="E43" s="28">
        <v>-0.72</v>
      </c>
    </row>
    <row r="44" spans="1:5" x14ac:dyDescent="0.45">
      <c r="A44" s="5">
        <v>84</v>
      </c>
      <c r="B44" s="5" t="s">
        <v>144</v>
      </c>
      <c r="C44" s="5"/>
      <c r="D44" s="5"/>
      <c r="E44" s="27">
        <v>-0.89</v>
      </c>
    </row>
    <row r="45" spans="1:5" x14ac:dyDescent="0.45">
      <c r="A45" s="5">
        <v>87</v>
      </c>
      <c r="B45" s="5" t="s">
        <v>139</v>
      </c>
      <c r="C45" s="5">
        <v>0.38</v>
      </c>
      <c r="D45" s="5"/>
      <c r="E45" s="5"/>
    </row>
    <row r="46" spans="1:5" x14ac:dyDescent="0.45">
      <c r="A46" s="5">
        <v>88</v>
      </c>
      <c r="B46" s="5" t="s">
        <v>122</v>
      </c>
      <c r="C46" s="5">
        <v>0.23</v>
      </c>
      <c r="D46" s="5"/>
      <c r="E46" s="5"/>
    </row>
    <row r="47" spans="1:5" x14ac:dyDescent="0.45">
      <c r="A47" s="5">
        <v>90</v>
      </c>
      <c r="B47" s="5" t="s">
        <v>140</v>
      </c>
      <c r="C47" s="5"/>
      <c r="D47" s="5">
        <v>-0.62</v>
      </c>
      <c r="E47" s="5"/>
    </row>
    <row r="48" spans="1:5" x14ac:dyDescent="0.45">
      <c r="A48" s="5">
        <v>94</v>
      </c>
      <c r="B48" s="5" t="s">
        <v>48</v>
      </c>
      <c r="C48" s="5"/>
      <c r="D48" s="5">
        <v>1.1499999999999999</v>
      </c>
      <c r="E48" s="5"/>
    </row>
    <row r="49" spans="1:5" x14ac:dyDescent="0.45">
      <c r="A49" s="5">
        <v>5</v>
      </c>
      <c r="B49" s="5" t="s">
        <v>117</v>
      </c>
      <c r="C49" s="5"/>
      <c r="D49" s="5"/>
      <c r="E49" s="5">
        <v>0.41</v>
      </c>
    </row>
    <row r="50" spans="1:5" x14ac:dyDescent="0.45">
      <c r="A50" s="5">
        <v>96</v>
      </c>
      <c r="B50" s="5" t="s">
        <v>130</v>
      </c>
      <c r="C50" s="5"/>
      <c r="D50" s="5">
        <v>-0.41</v>
      </c>
      <c r="E50" s="5"/>
    </row>
    <row r="51" spans="1:5" x14ac:dyDescent="0.45">
      <c r="A51" s="5">
        <v>99</v>
      </c>
      <c r="B51" s="5" t="s">
        <v>11</v>
      </c>
      <c r="C51" s="5"/>
      <c r="D51" s="5">
        <v>-0.34</v>
      </c>
      <c r="E51" s="5"/>
    </row>
    <row r="52" spans="1:5" x14ac:dyDescent="0.45">
      <c r="A52" s="5">
        <v>101</v>
      </c>
      <c r="B52" s="5" t="s">
        <v>131</v>
      </c>
      <c r="C52" s="5"/>
      <c r="D52" s="5"/>
      <c r="E52" s="5">
        <v>-0.79</v>
      </c>
    </row>
    <row r="53" spans="1:5" x14ac:dyDescent="0.45">
      <c r="A53" s="5">
        <v>102</v>
      </c>
      <c r="B53" s="5" t="s">
        <v>125</v>
      </c>
      <c r="C53" s="5"/>
      <c r="D53" s="5"/>
      <c r="E53" s="5">
        <v>-0.78</v>
      </c>
    </row>
    <row r="54" spans="1:5" x14ac:dyDescent="0.45">
      <c r="A54" s="5">
        <v>103</v>
      </c>
      <c r="B54" s="5" t="s">
        <v>141</v>
      </c>
      <c r="C54" s="5"/>
      <c r="D54" s="5">
        <v>-0.33</v>
      </c>
      <c r="E54" s="5"/>
    </row>
    <row r="55" spans="1:5" x14ac:dyDescent="0.45">
      <c r="A55" s="5">
        <v>104</v>
      </c>
      <c r="B55" s="5" t="s">
        <v>21</v>
      </c>
      <c r="C55" s="5"/>
      <c r="D55" s="5"/>
      <c r="E55" s="5">
        <v>-0.49</v>
      </c>
    </row>
    <row r="56" spans="1:5" x14ac:dyDescent="0.45">
      <c r="A56" s="5">
        <v>107</v>
      </c>
      <c r="B56" s="5" t="s">
        <v>136</v>
      </c>
      <c r="C56" s="5">
        <v>0.46</v>
      </c>
      <c r="D56" s="5"/>
      <c r="E56" s="5">
        <v>-0.53</v>
      </c>
    </row>
    <row r="57" spans="1:5" x14ac:dyDescent="0.45">
      <c r="A57" s="5">
        <v>111</v>
      </c>
      <c r="B57" s="5" t="s">
        <v>132</v>
      </c>
      <c r="C57" s="5">
        <v>0.67</v>
      </c>
      <c r="D57" s="5"/>
      <c r="E57" s="5"/>
    </row>
    <row r="58" spans="1:5" x14ac:dyDescent="0.45">
      <c r="A58" s="28">
        <v>112</v>
      </c>
      <c r="B58" s="28" t="s">
        <v>15</v>
      </c>
      <c r="C58" s="28"/>
      <c r="D58" s="28">
        <v>-0.9</v>
      </c>
      <c r="E58" s="28">
        <v>-0.54</v>
      </c>
    </row>
    <row r="59" spans="1:5" x14ac:dyDescent="0.45">
      <c r="A59" s="15">
        <v>113</v>
      </c>
      <c r="B59" s="15" t="s">
        <v>126</v>
      </c>
      <c r="C59" s="15">
        <v>-0.31</v>
      </c>
      <c r="D59" s="15">
        <v>-0.79</v>
      </c>
      <c r="E59" s="5"/>
    </row>
    <row r="60" spans="1:5" x14ac:dyDescent="0.45">
      <c r="A60" s="5">
        <v>114</v>
      </c>
      <c r="B60" s="5" t="s">
        <v>127</v>
      </c>
      <c r="C60" s="5"/>
      <c r="D60" s="5">
        <v>-1.19</v>
      </c>
      <c r="E60" s="5"/>
    </row>
    <row r="61" spans="1:5" x14ac:dyDescent="0.45">
      <c r="A61" s="5">
        <v>116</v>
      </c>
      <c r="B61" s="5" t="s">
        <v>133</v>
      </c>
      <c r="C61" s="5"/>
      <c r="D61" s="5">
        <v>0.67</v>
      </c>
      <c r="E61" s="5"/>
    </row>
    <row r="62" spans="1:5" x14ac:dyDescent="0.45">
      <c r="A62" s="28">
        <v>117</v>
      </c>
      <c r="B62" s="28" t="s">
        <v>134</v>
      </c>
      <c r="C62" s="28"/>
      <c r="D62" s="28">
        <v>-2.5</v>
      </c>
      <c r="E62" s="28">
        <v>-0.43</v>
      </c>
    </row>
  </sheetData>
  <mergeCells count="2">
    <mergeCell ref="A1:B2"/>
    <mergeCell ref="C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06EF-B139-458D-9D0F-4B9C5FAD2EE3}">
  <dimension ref="A1:E51"/>
  <sheetViews>
    <sheetView workbookViewId="0">
      <selection activeCell="D12" sqref="D12"/>
    </sheetView>
  </sheetViews>
  <sheetFormatPr defaultRowHeight="14.25" x14ac:dyDescent="0.45"/>
  <cols>
    <col min="2" max="2" width="23.33203125" customWidth="1"/>
    <col min="3" max="3" width="7.33203125" customWidth="1"/>
    <col min="10" max="10" width="23.46484375" customWidth="1"/>
    <col min="11" max="11" width="21.06640625" customWidth="1"/>
  </cols>
  <sheetData>
    <row r="1" spans="1:5" x14ac:dyDescent="0.45">
      <c r="A1" s="19"/>
      <c r="B1" s="19"/>
      <c r="C1" s="19" t="s">
        <v>54</v>
      </c>
      <c r="D1" s="19"/>
    </row>
    <row r="2" spans="1:5" x14ac:dyDescent="0.45">
      <c r="A2" s="19"/>
      <c r="B2" s="19"/>
      <c r="C2" s="3" t="s">
        <v>56</v>
      </c>
      <c r="D2" s="2" t="s">
        <v>55</v>
      </c>
      <c r="E2" s="2" t="s">
        <v>145</v>
      </c>
    </row>
    <row r="3" spans="1:5" x14ac:dyDescent="0.45">
      <c r="A3" s="2" t="s">
        <v>1</v>
      </c>
      <c r="B3" s="2" t="s">
        <v>2</v>
      </c>
      <c r="C3" s="2" t="s">
        <v>3</v>
      </c>
      <c r="D3" s="2" t="s">
        <v>3</v>
      </c>
      <c r="E3" s="26" t="s">
        <v>3</v>
      </c>
    </row>
    <row r="4" spans="1:5" x14ac:dyDescent="0.45">
      <c r="A4" s="5">
        <v>4</v>
      </c>
      <c r="B4" s="5" t="s">
        <v>114</v>
      </c>
      <c r="C4" s="14">
        <v>0.21288899999999999</v>
      </c>
      <c r="D4" s="5"/>
      <c r="E4" s="5"/>
    </row>
    <row r="5" spans="1:5" x14ac:dyDescent="0.45">
      <c r="A5" s="29">
        <v>8</v>
      </c>
      <c r="B5" s="29" t="s">
        <v>18</v>
      </c>
      <c r="C5" s="30">
        <v>0.59394000000000002</v>
      </c>
      <c r="D5" s="29"/>
      <c r="E5" s="29">
        <v>0.39</v>
      </c>
    </row>
    <row r="6" spans="1:5" x14ac:dyDescent="0.45">
      <c r="A6" s="5">
        <v>9</v>
      </c>
      <c r="B6" s="5" t="s">
        <v>19</v>
      </c>
      <c r="C6" s="14">
        <v>-0.46501799999999999</v>
      </c>
      <c r="D6" s="5"/>
      <c r="E6" s="5"/>
    </row>
    <row r="7" spans="1:5" x14ac:dyDescent="0.45">
      <c r="A7" s="5">
        <v>10</v>
      </c>
      <c r="B7" s="5" t="s">
        <v>115</v>
      </c>
      <c r="C7" s="14">
        <v>0.18800600000000001</v>
      </c>
      <c r="D7" s="5"/>
      <c r="E7" s="5"/>
    </row>
    <row r="8" spans="1:5" x14ac:dyDescent="0.45">
      <c r="A8" s="5">
        <v>12</v>
      </c>
      <c r="B8" s="5" t="s">
        <v>123</v>
      </c>
      <c r="C8" s="14"/>
      <c r="D8" s="5">
        <v>-0.47</v>
      </c>
      <c r="E8" s="5"/>
    </row>
    <row r="9" spans="1:5" x14ac:dyDescent="0.45">
      <c r="A9" s="5">
        <v>15</v>
      </c>
      <c r="B9" s="5" t="s">
        <v>41</v>
      </c>
      <c r="C9" s="14"/>
      <c r="D9" s="5">
        <v>-6.7000000000000004E-2</v>
      </c>
      <c r="E9" s="5"/>
    </row>
    <row r="10" spans="1:5" x14ac:dyDescent="0.45">
      <c r="A10" s="5">
        <v>18</v>
      </c>
      <c r="B10" s="5" t="s">
        <v>121</v>
      </c>
      <c r="C10" s="14"/>
      <c r="D10" s="5">
        <v>-0.49</v>
      </c>
      <c r="E10" s="5"/>
    </row>
    <row r="11" spans="1:5" x14ac:dyDescent="0.45">
      <c r="A11" s="5">
        <v>19</v>
      </c>
      <c r="B11" s="5" t="s">
        <v>124</v>
      </c>
      <c r="C11" s="14"/>
      <c r="D11" s="5">
        <v>-9.4E-2</v>
      </c>
      <c r="E11" s="5"/>
    </row>
    <row r="12" spans="1:5" x14ac:dyDescent="0.45">
      <c r="A12" s="5">
        <v>20</v>
      </c>
      <c r="B12" s="5" t="s">
        <v>27</v>
      </c>
      <c r="C12" s="14"/>
      <c r="D12" s="5">
        <v>-6.3E-2</v>
      </c>
      <c r="E12" s="5"/>
    </row>
    <row r="13" spans="1:5" x14ac:dyDescent="0.45">
      <c r="A13" s="5">
        <v>23</v>
      </c>
      <c r="B13" s="5" t="s">
        <v>47</v>
      </c>
      <c r="C13" s="14">
        <v>0.166682</v>
      </c>
      <c r="D13" s="5"/>
      <c r="E13" s="5"/>
    </row>
    <row r="14" spans="1:5" x14ac:dyDescent="0.45">
      <c r="A14" s="15">
        <v>25</v>
      </c>
      <c r="B14" s="15" t="s">
        <v>116</v>
      </c>
      <c r="C14" s="16">
        <v>0.23907500000000001</v>
      </c>
      <c r="D14" s="15">
        <v>0.24</v>
      </c>
      <c r="E14" s="5"/>
    </row>
    <row r="15" spans="1:5" x14ac:dyDescent="0.45">
      <c r="A15" s="15">
        <v>28</v>
      </c>
      <c r="B15" s="15" t="s">
        <v>29</v>
      </c>
      <c r="C15" s="16">
        <v>-0.53464199999999995</v>
      </c>
      <c r="D15" s="15">
        <v>-0.53</v>
      </c>
      <c r="E15" s="5"/>
    </row>
    <row r="16" spans="1:5" s="25" customFormat="1" x14ac:dyDescent="0.45">
      <c r="A16" s="23">
        <v>32</v>
      </c>
      <c r="B16" s="23" t="s">
        <v>36</v>
      </c>
      <c r="C16" s="24"/>
      <c r="D16" s="23"/>
      <c r="E16" s="23">
        <v>0.21</v>
      </c>
    </row>
    <row r="17" spans="1:5" x14ac:dyDescent="0.45">
      <c r="A17" s="5">
        <v>35</v>
      </c>
      <c r="B17" s="5" t="s">
        <v>117</v>
      </c>
      <c r="C17" s="14">
        <v>0.68367800000000001</v>
      </c>
      <c r="D17" s="5"/>
      <c r="E17" s="5"/>
    </row>
    <row r="18" spans="1:5" x14ac:dyDescent="0.45">
      <c r="A18" s="29">
        <v>39</v>
      </c>
      <c r="B18" s="29" t="s">
        <v>50</v>
      </c>
      <c r="C18" s="30">
        <v>0.22011500000000001</v>
      </c>
      <c r="D18" s="29"/>
      <c r="E18" s="29">
        <v>-3.6999999999999998E-2</v>
      </c>
    </row>
    <row r="19" spans="1:5" x14ac:dyDescent="0.45">
      <c r="A19" s="5">
        <v>40</v>
      </c>
      <c r="B19" s="5" t="s">
        <v>11</v>
      </c>
      <c r="C19" s="14"/>
      <c r="D19" s="5">
        <v>0.23</v>
      </c>
      <c r="E19" s="5"/>
    </row>
    <row r="20" spans="1:5" x14ac:dyDescent="0.45">
      <c r="A20" s="28">
        <v>43</v>
      </c>
      <c r="B20" s="28" t="s">
        <v>125</v>
      </c>
      <c r="C20" s="31"/>
      <c r="D20" s="28">
        <v>0.09</v>
      </c>
      <c r="E20" s="28">
        <v>-0.11</v>
      </c>
    </row>
    <row r="21" spans="1:5" x14ac:dyDescent="0.45">
      <c r="A21" s="5">
        <v>47</v>
      </c>
      <c r="B21" s="5" t="s">
        <v>118</v>
      </c>
      <c r="C21" s="14">
        <v>0.58634699999999995</v>
      </c>
      <c r="D21" s="5"/>
      <c r="E21" s="5"/>
    </row>
    <row r="22" spans="1:5" x14ac:dyDescent="0.45">
      <c r="A22" s="5">
        <v>49</v>
      </c>
      <c r="B22" s="5" t="s">
        <v>22</v>
      </c>
      <c r="C22" s="14"/>
      <c r="D22" s="5"/>
      <c r="E22" s="5">
        <v>0.11</v>
      </c>
    </row>
    <row r="23" spans="1:5" x14ac:dyDescent="0.45">
      <c r="A23" s="5">
        <v>51</v>
      </c>
      <c r="B23" s="5" t="s">
        <v>14</v>
      </c>
      <c r="C23" s="14"/>
      <c r="D23" s="5">
        <v>-0.17</v>
      </c>
      <c r="E23" s="5"/>
    </row>
    <row r="24" spans="1:5" x14ac:dyDescent="0.45">
      <c r="A24" s="5">
        <v>54</v>
      </c>
      <c r="B24" s="5" t="s">
        <v>126</v>
      </c>
      <c r="C24" s="14"/>
      <c r="D24" s="5">
        <v>-0.38</v>
      </c>
      <c r="E24" s="5"/>
    </row>
    <row r="25" spans="1:5" x14ac:dyDescent="0.45">
      <c r="A25" s="5">
        <v>55</v>
      </c>
      <c r="B25" s="5" t="s">
        <v>127</v>
      </c>
      <c r="C25" s="14"/>
      <c r="D25" s="5">
        <v>-0.14000000000000001</v>
      </c>
      <c r="E25" s="5"/>
    </row>
    <row r="26" spans="1:5" x14ac:dyDescent="0.45">
      <c r="A26" s="5">
        <v>59</v>
      </c>
      <c r="B26" s="5" t="s">
        <v>119</v>
      </c>
      <c r="C26" s="14">
        <v>-0.362097</v>
      </c>
      <c r="D26" s="5"/>
      <c r="E26" s="5"/>
    </row>
    <row r="27" spans="1:5" x14ac:dyDescent="0.45">
      <c r="A27" s="5">
        <v>60</v>
      </c>
      <c r="B27" s="5" t="s">
        <v>16</v>
      </c>
      <c r="C27" s="14">
        <v>-0.43469600000000003</v>
      </c>
      <c r="D27" s="5"/>
      <c r="E27" s="5"/>
    </row>
    <row r="28" spans="1:5" x14ac:dyDescent="0.45">
      <c r="A28" s="5">
        <v>61</v>
      </c>
      <c r="B28" s="5" t="s">
        <v>31</v>
      </c>
      <c r="C28" s="14"/>
      <c r="D28" s="5">
        <v>-0.47</v>
      </c>
      <c r="E28" s="5"/>
    </row>
    <row r="29" spans="1:5" x14ac:dyDescent="0.45">
      <c r="A29" s="5">
        <v>64</v>
      </c>
      <c r="B29" s="5" t="s">
        <v>40</v>
      </c>
      <c r="C29" s="14"/>
      <c r="D29" s="5">
        <v>0.15</v>
      </c>
      <c r="E29" s="5"/>
    </row>
    <row r="30" spans="1:5" x14ac:dyDescent="0.45">
      <c r="A30" s="5">
        <v>65</v>
      </c>
      <c r="B30" s="5" t="s">
        <v>17</v>
      </c>
      <c r="C30" s="14"/>
      <c r="D30" s="5">
        <v>-0.15</v>
      </c>
      <c r="E30" s="5"/>
    </row>
    <row r="31" spans="1:5" x14ac:dyDescent="0.45">
      <c r="A31" s="5">
        <v>70</v>
      </c>
      <c r="B31" s="5" t="s">
        <v>128</v>
      </c>
      <c r="C31" s="14"/>
      <c r="D31" s="5">
        <v>0.23</v>
      </c>
      <c r="E31" s="5"/>
    </row>
    <row r="32" spans="1:5" x14ac:dyDescent="0.45">
      <c r="A32" s="5">
        <v>71</v>
      </c>
      <c r="B32" s="5" t="s">
        <v>123</v>
      </c>
      <c r="C32" s="14"/>
      <c r="D32" s="5">
        <v>0.12</v>
      </c>
      <c r="E32" s="5"/>
    </row>
    <row r="33" spans="1:5" x14ac:dyDescent="0.45">
      <c r="A33" s="5">
        <v>72</v>
      </c>
      <c r="B33" s="5" t="s">
        <v>129</v>
      </c>
      <c r="C33" s="14"/>
      <c r="D33" s="5">
        <v>-0.28000000000000003</v>
      </c>
      <c r="E33" s="5"/>
    </row>
    <row r="34" spans="1:5" x14ac:dyDescent="0.45">
      <c r="A34" s="5">
        <v>78</v>
      </c>
      <c r="B34" s="5" t="s">
        <v>121</v>
      </c>
      <c r="C34" s="14"/>
      <c r="D34" s="5">
        <v>-0.47</v>
      </c>
      <c r="E34" s="5"/>
    </row>
    <row r="35" spans="1:5" x14ac:dyDescent="0.45">
      <c r="A35" s="5">
        <v>88</v>
      </c>
      <c r="B35" s="5" t="s">
        <v>122</v>
      </c>
      <c r="C35" s="14"/>
      <c r="D35" s="5">
        <v>0.12</v>
      </c>
      <c r="E35" s="5"/>
    </row>
    <row r="36" spans="1:5" x14ac:dyDescent="0.45">
      <c r="A36" s="5">
        <v>89</v>
      </c>
      <c r="B36" s="5" t="s">
        <v>29</v>
      </c>
      <c r="C36" s="14"/>
      <c r="D36" s="5"/>
      <c r="E36" s="5">
        <v>0.26</v>
      </c>
    </row>
    <row r="37" spans="1:5" x14ac:dyDescent="0.45">
      <c r="A37" s="5">
        <v>91</v>
      </c>
      <c r="B37" s="5" t="s">
        <v>120</v>
      </c>
      <c r="C37" s="14">
        <v>-0.35931800000000003</v>
      </c>
      <c r="D37" s="5"/>
      <c r="E37" s="5"/>
    </row>
    <row r="38" spans="1:5" x14ac:dyDescent="0.45">
      <c r="A38" s="5">
        <v>95</v>
      </c>
      <c r="B38" s="5" t="s">
        <v>117</v>
      </c>
      <c r="C38" s="14"/>
      <c r="D38" s="5"/>
      <c r="E38" s="5">
        <v>0.47</v>
      </c>
    </row>
    <row r="39" spans="1:5" x14ac:dyDescent="0.45">
      <c r="A39" s="5">
        <v>96</v>
      </c>
      <c r="B39" s="5" t="s">
        <v>130</v>
      </c>
      <c r="C39" s="5">
        <v>-0.14000000000000001</v>
      </c>
      <c r="D39" s="5"/>
      <c r="E39" s="5"/>
    </row>
    <row r="40" spans="1:5" x14ac:dyDescent="0.45">
      <c r="A40" s="5">
        <v>100</v>
      </c>
      <c r="B40" s="5" t="s">
        <v>51</v>
      </c>
      <c r="C40" s="5">
        <v>0.37</v>
      </c>
      <c r="D40" s="5"/>
      <c r="E40" s="5"/>
    </row>
    <row r="41" spans="1:5" x14ac:dyDescent="0.45">
      <c r="A41" s="5">
        <v>101</v>
      </c>
      <c r="B41" s="5" t="s">
        <v>131</v>
      </c>
      <c r="C41" s="5">
        <v>0.11</v>
      </c>
      <c r="D41" s="5"/>
      <c r="E41" s="5"/>
    </row>
    <row r="42" spans="1:5" x14ac:dyDescent="0.45">
      <c r="A42" s="5">
        <v>102</v>
      </c>
      <c r="B42" s="15" t="s">
        <v>125</v>
      </c>
      <c r="C42" s="15">
        <v>0.82</v>
      </c>
      <c r="D42" s="15">
        <v>0.82</v>
      </c>
      <c r="E42" s="5"/>
    </row>
    <row r="43" spans="1:5" x14ac:dyDescent="0.45">
      <c r="A43" s="5">
        <v>105</v>
      </c>
      <c r="B43" s="5" t="s">
        <v>52</v>
      </c>
      <c r="C43" s="5"/>
      <c r="D43" s="5">
        <v>8.9999999999999993E-3</v>
      </c>
      <c r="E43" s="5"/>
    </row>
    <row r="44" spans="1:5" x14ac:dyDescent="0.45">
      <c r="A44" s="5">
        <v>109</v>
      </c>
      <c r="B44" s="5" t="s">
        <v>23</v>
      </c>
      <c r="C44" s="5"/>
      <c r="D44" s="5">
        <v>-0.32</v>
      </c>
      <c r="E44" s="5"/>
    </row>
    <row r="45" spans="1:5" x14ac:dyDescent="0.45">
      <c r="A45" s="5">
        <v>110</v>
      </c>
      <c r="B45" s="5" t="s">
        <v>14</v>
      </c>
      <c r="C45" s="5">
        <v>-0.28000000000000003</v>
      </c>
      <c r="D45" s="5"/>
      <c r="E45" s="5"/>
    </row>
    <row r="46" spans="1:5" x14ac:dyDescent="0.45">
      <c r="A46" s="29">
        <v>111</v>
      </c>
      <c r="B46" s="29" t="s">
        <v>132</v>
      </c>
      <c r="C46" s="29">
        <v>0.43</v>
      </c>
      <c r="D46" s="29"/>
      <c r="E46" s="29">
        <v>-0.38</v>
      </c>
    </row>
    <row r="47" spans="1:5" x14ac:dyDescent="0.45">
      <c r="A47" s="5">
        <v>112</v>
      </c>
      <c r="B47" s="5" t="s">
        <v>15</v>
      </c>
      <c r="C47" s="5"/>
      <c r="D47" s="5">
        <v>-0.56000000000000005</v>
      </c>
      <c r="E47" s="5"/>
    </row>
    <row r="48" spans="1:5" x14ac:dyDescent="0.45">
      <c r="A48" s="5">
        <v>113</v>
      </c>
      <c r="B48" s="5" t="s">
        <v>126</v>
      </c>
      <c r="C48" s="5"/>
      <c r="D48" s="5">
        <v>-0.28000000000000003</v>
      </c>
      <c r="E48" s="5"/>
    </row>
    <row r="49" spans="1:5" x14ac:dyDescent="0.45">
      <c r="A49" s="5">
        <v>114</v>
      </c>
      <c r="B49" s="5" t="s">
        <v>127</v>
      </c>
      <c r="C49" s="5"/>
      <c r="D49" s="5">
        <v>-0.91</v>
      </c>
      <c r="E49" s="5"/>
    </row>
    <row r="50" spans="1:5" x14ac:dyDescent="0.45">
      <c r="A50" s="29">
        <v>116</v>
      </c>
      <c r="B50" s="29" t="s">
        <v>133</v>
      </c>
      <c r="C50" s="29">
        <v>0.8</v>
      </c>
      <c r="D50" s="29"/>
      <c r="E50" s="29">
        <v>0.57999999999999996</v>
      </c>
    </row>
    <row r="51" spans="1:5" x14ac:dyDescent="0.45">
      <c r="A51" s="15">
        <v>117</v>
      </c>
      <c r="B51" s="15" t="s">
        <v>134</v>
      </c>
      <c r="C51" s="15">
        <v>-1.5</v>
      </c>
      <c r="D51" s="15">
        <v>-1.5</v>
      </c>
      <c r="E51" s="5"/>
    </row>
  </sheetData>
  <mergeCells count="2">
    <mergeCell ref="A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LTLE_rois114</vt:lpstr>
      <vt:lpstr>RTLE_rois114</vt:lpstr>
      <vt:lpstr>summary_rois114</vt:lpstr>
      <vt:lpstr>LTLE_rois118</vt:lpstr>
      <vt:lpstr>RTLE_rois118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Emeline Mullier</dc:creator>
  <cp:lastModifiedBy>Emeline Mullier</cp:lastModifiedBy>
  <dcterms:created xsi:type="dcterms:W3CDTF">2025-04-11T15:11:53Z</dcterms:created>
  <dcterms:modified xsi:type="dcterms:W3CDTF">2025-04-28T19:45:36Z</dcterms:modified>
</cp:coreProperties>
</file>